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iak\OneDrive\Desktop\"/>
    </mc:Choice>
  </mc:AlternateContent>
  <xr:revisionPtr revIDLastSave="0" documentId="8_{88098DF6-B8BA-4110-AF9E-C51624372DB7}" xr6:coauthVersionLast="47" xr6:coauthVersionMax="47" xr10:uidLastSave="{00000000-0000-0000-0000-000000000000}"/>
  <bookViews>
    <workbookView xWindow="-98" yWindow="-98" windowWidth="21795" windowHeight="12975" activeTab="4" xr2:uid="{F70E816F-02F9-4F7A-9ACE-4A1B937483AA}"/>
  </bookViews>
  <sheets>
    <sheet name="coursework" sheetId="1" r:id="rId1"/>
    <sheet name="Question 3" sheetId="4" r:id="rId2"/>
    <sheet name="Question 4" sheetId="3" r:id="rId3"/>
    <sheet name="Question 6" sheetId="5" r:id="rId4"/>
    <sheet name="Question 8" sheetId="2" r:id="rId5"/>
  </sheets>
  <functionGroups builtInGroupCount="19"/>
  <definedNames>
    <definedName name="solver_adj" localSheetId="0" hidden="1">coursework!$X$17:$Z$17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coursework!$AA$17</definedName>
    <definedName name="solver_lhs2" localSheetId="0" hidden="1">coursework!$X$17</definedName>
    <definedName name="solver_lhs3" localSheetId="0" hidden="1">coursework!$X$17</definedName>
    <definedName name="solver_lhs4" localSheetId="0" hidden="1">coursework!$Y$17</definedName>
    <definedName name="solver_lhs5" localSheetId="0" hidden="1">coursework!$Y$17</definedName>
    <definedName name="solver_lhs6" localSheetId="0" hidden="1">coursework!$Z$17</definedName>
    <definedName name="solver_lhs7" localSheetId="0" hidden="1">coursework!$Z$17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coursework!$X$20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1</definedName>
    <definedName name="solver_rel3" localSheetId="0" hidden="1">3</definedName>
    <definedName name="solver_rel4" localSheetId="0" hidden="1">1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hs1" localSheetId="0" hidden="1">1</definedName>
    <definedName name="solver_rhs2" localSheetId="0" hidden="1">1</definedName>
    <definedName name="solver_rhs3" localSheetId="0" hidden="1">0</definedName>
    <definedName name="solver_rhs4" localSheetId="0" hidden="1">1</definedName>
    <definedName name="solver_rhs5" localSheetId="0" hidden="1">0</definedName>
    <definedName name="solver_rhs6" localSheetId="0" hidden="1">1</definedName>
    <definedName name="solver_rhs7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5" l="1"/>
  <c r="G3" i="5"/>
  <c r="H1" i="5"/>
  <c r="B10" i="5"/>
  <c r="B12" i="5"/>
  <c r="B13" i="5" s="1"/>
  <c r="A10" i="5"/>
  <c r="F10" i="1"/>
  <c r="C6" i="1"/>
  <c r="A2" i="3"/>
  <c r="B2" i="3"/>
  <c r="C2" i="3"/>
  <c r="D2" i="3"/>
  <c r="A3" i="3"/>
  <c r="A4" i="3"/>
  <c r="C4" i="3"/>
  <c r="D4" i="3"/>
  <c r="A5" i="3"/>
  <c r="C5" i="3"/>
  <c r="D5" i="3"/>
  <c r="D10" i="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" i="2"/>
  <c r="V7" i="1"/>
  <c r="K6" i="1"/>
  <c r="AA17" i="1"/>
  <c r="F7" i="1"/>
  <c r="K18" i="1"/>
  <c r="K19" i="1"/>
  <c r="K20" i="1"/>
  <c r="K21" i="1"/>
  <c r="U30" i="1" a="1"/>
  <c r="M30" i="1" a="1"/>
  <c r="E30" i="1" a="1"/>
  <c r="U33" i="1" a="1"/>
  <c r="E33" i="1" a="1"/>
  <c r="M33" i="1" a="1"/>
  <c r="E30" i="1" l="1"/>
  <c r="M30" i="1"/>
  <c r="U30" i="1"/>
  <c r="E33" i="1"/>
  <c r="M33" i="1"/>
  <c r="U33" i="1"/>
  <c r="N7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6" i="1"/>
  <c r="K7" i="1"/>
  <c r="K8" i="1"/>
  <c r="K9" i="1"/>
  <c r="K10" i="1"/>
  <c r="K11" i="1"/>
  <c r="K12" i="1"/>
  <c r="K13" i="1"/>
  <c r="K14" i="1"/>
  <c r="K15" i="1"/>
  <c r="K16" i="1"/>
  <c r="K17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N5" i="1" l="1"/>
  <c r="N10" i="1" s="1"/>
  <c r="N6" i="1"/>
  <c r="F6" i="1"/>
  <c r="F8" i="1" s="1"/>
  <c r="Z11" i="1"/>
  <c r="AA11" i="1"/>
  <c r="F5" i="1"/>
  <c r="Y11" i="1"/>
  <c r="B3" i="3" s="1"/>
  <c r="V5" i="1"/>
  <c r="V10" i="1" s="1"/>
  <c r="AA12" i="1"/>
  <c r="Z13" i="1" s="1"/>
  <c r="AA13" i="1"/>
  <c r="Z12" i="1"/>
  <c r="V6" i="1"/>
  <c r="V8" i="1" s="1"/>
  <c r="N8" i="1"/>
  <c r="Y12" i="1" l="1"/>
  <c r="B4" i="3" s="1"/>
  <c r="C3" i="3"/>
  <c r="Y13" i="1"/>
  <c r="B5" i="3" s="1"/>
  <c r="D3" i="3"/>
  <c r="Y22" i="1"/>
  <c r="Z22" i="1" s="1"/>
  <c r="X20" i="1"/>
  <c r="Y23" i="1" s="1"/>
  <c r="Z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<sst xmlns="http://schemas.openxmlformats.org/spreadsheetml/2006/main" count="172" uniqueCount="67">
  <si>
    <t>Date</t>
  </si>
  <si>
    <t>Last Price</t>
  </si>
  <si>
    <t>Return</t>
  </si>
  <si>
    <t>Returns</t>
  </si>
  <si>
    <t>Daily Volatility</t>
  </si>
  <si>
    <t>CAGRR</t>
  </si>
  <si>
    <t>Annual Volatility</t>
  </si>
  <si>
    <t>Daily Return</t>
  </si>
  <si>
    <t>Covariance</t>
  </si>
  <si>
    <t>APPLE</t>
  </si>
  <si>
    <t>PFE</t>
  </si>
  <si>
    <t>MSFT</t>
  </si>
  <si>
    <t>Three Stocks from S&amp;P 500 using Bloomberg Terminal</t>
  </si>
  <si>
    <t>APPLE INC (AAPL)</t>
  </si>
  <si>
    <t>MICROSOFT CORP</t>
  </si>
  <si>
    <t xml:space="preserve">PFIZER INC 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</si>
  <si>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</si>
  <si>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</si>
  <si>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</si>
  <si>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</si>
  <si>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</si>
  <si>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</si>
  <si>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</si>
  <si>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</si>
  <si>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</si>
  <si>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</si>
  <si>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</si>
  <si>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</si>
  <si>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</si>
  <si>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 xml:space="preserve">APPLE INC </t>
  </si>
  <si>
    <t xml:space="preserve">MIRCROSOFT </t>
  </si>
  <si>
    <t>PFIZER INC</t>
  </si>
  <si>
    <t>SUM</t>
  </si>
  <si>
    <t>W3</t>
  </si>
  <si>
    <t>W2</t>
  </si>
  <si>
    <t>W1</t>
  </si>
  <si>
    <t xml:space="preserve">VARIANCE </t>
  </si>
  <si>
    <t xml:space="preserve">EXPECTED RETURN </t>
  </si>
  <si>
    <t>VOL_P</t>
  </si>
  <si>
    <t>CAGR VBA</t>
  </si>
  <si>
    <t>Annualised Volatility</t>
  </si>
  <si>
    <t>CAGR  VBA</t>
  </si>
  <si>
    <t>VBA IMPLEMENTATION</t>
  </si>
  <si>
    <t>Expected Annual Return</t>
  </si>
  <si>
    <t>Expected Return</t>
  </si>
  <si>
    <t>risk-free</t>
  </si>
  <si>
    <t xml:space="preserve">er tan </t>
  </si>
  <si>
    <t>sd tan</t>
  </si>
  <si>
    <t>sharp</t>
  </si>
  <si>
    <t>c</t>
  </si>
  <si>
    <t>question 5</t>
  </si>
  <si>
    <t>Covariance Matrix</t>
  </si>
  <si>
    <t>R(A)</t>
  </si>
  <si>
    <t>R(B)</t>
  </si>
  <si>
    <t>risk-free rate</t>
  </si>
  <si>
    <t>annual sd (Apple)</t>
  </si>
  <si>
    <t>annual sd (microsoft)</t>
  </si>
  <si>
    <t>covariance A&amp;M</t>
  </si>
  <si>
    <t>compute weights</t>
  </si>
  <si>
    <t>apple</t>
  </si>
  <si>
    <t>numerator</t>
  </si>
  <si>
    <t>denominator</t>
  </si>
  <si>
    <t>apple weight</t>
  </si>
  <si>
    <t>microsoft weight</t>
  </si>
  <si>
    <t>expected return of the Tangency Portfolio</t>
  </si>
  <si>
    <t>volatility of the Tangency Portfolio</t>
  </si>
  <si>
    <t>sharpe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</si>
</sst>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%"/>
    <numFmt numFmtId="165" formatCode="0.00000000"/>
    <numFmt numFmtId="170" formatCode="_-* #,##0.00_-;\-* #,##0.00_-;_-* &quot;-&quot;??_-;_-@_-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i/>
      <sz val="11"/>
      <color theme="1"/>
      <name val="Aptos Display"/>
      <family val="2"/>
      <scheme val="major"/>
    </font>
    <font>
      <i/>
      <sz val="11"/>
      <color theme="1"/>
      <name val="Aptos Display"/>
      <family val="2"/>
      <scheme val="major"/>
    </font>
    <font>
      <b/>
      <i/>
      <u/>
      <sz val="11"/>
      <color theme="1"/>
      <name val="Aptos Display"/>
      <family val="2"/>
      <scheme val="maj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7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</cellStyleXfs>
  <cellXfs count="71">
    <xf numFmtId="0" fontId="0" fillId="0" borderId="0" xfId="0"/>
    <xf numFmtId="0" fontId="3" fillId="4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0" borderId="1" xfId="1" applyNumberFormat="1" applyFont="1" applyBorder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0" fontId="3" fillId="11" borderId="1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0" fontId="2" fillId="0" borderId="0" xfId="1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9" fontId="2" fillId="9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2" fillId="10" borderId="1" xfId="0" applyNumberFormat="1" applyFont="1" applyFill="1" applyBorder="1" applyAlignment="1">
      <alignment horizontal="center" vertical="center"/>
    </xf>
    <xf numFmtId="10" fontId="2" fillId="10" borderId="1" xfId="0" applyNumberFormat="1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1" xfId="2" applyNumberFormat="1" applyFont="1" applyBorder="1" applyAlignment="1">
      <alignment horizontal="center" vertical="center"/>
    </xf>
    <xf numFmtId="165" fontId="2" fillId="7" borderId="1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2" fillId="10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0" xfId="0" applyFill="1"/>
    <xf numFmtId="0" fontId="8" fillId="0" borderId="0" xfId="0" applyFont="1" applyAlignment="1">
      <alignment horizontal="center"/>
    </xf>
    <xf numFmtId="0" fontId="9" fillId="12" borderId="12" xfId="0" applyFont="1" applyFill="1" applyBorder="1" applyAlignment="1">
      <alignment horizontal="justify" vertical="center"/>
    </xf>
    <xf numFmtId="0" fontId="10" fillId="12" borderId="13" xfId="0" applyFont="1" applyFill="1" applyBorder="1" applyAlignment="1">
      <alignment horizontal="justify" vertical="center"/>
    </xf>
    <xf numFmtId="0" fontId="10" fillId="12" borderId="9" xfId="0" applyFont="1" applyFill="1" applyBorder="1" applyAlignment="1">
      <alignment horizontal="justify" vertical="center"/>
    </xf>
    <xf numFmtId="0" fontId="11" fillId="13" borderId="7" xfId="0" applyFont="1" applyFill="1" applyBorder="1" applyAlignment="1">
      <alignment horizontal="justify" vertical="center"/>
    </xf>
    <xf numFmtId="11" fontId="11" fillId="13" borderId="7" xfId="0" applyNumberFormat="1" applyFont="1" applyFill="1" applyBorder="1" applyAlignment="1">
      <alignment horizontal="justify" vertical="center"/>
    </xf>
    <xf numFmtId="0" fontId="0" fillId="5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/>
    </xf>
    <xf numFmtId="0" fontId="7" fillId="14" borderId="0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0" fillId="14" borderId="0" xfId="0" applyFill="1"/>
    <xf numFmtId="0" fontId="7" fillId="14" borderId="0" xfId="0" applyFont="1" applyFill="1"/>
    <xf numFmtId="0" fontId="7" fillId="5" borderId="0" xfId="0" applyFont="1" applyFill="1"/>
    <xf numFmtId="0" fontId="0" fillId="14" borderId="0" xfId="0" applyFill="1" applyAlignment="1">
      <alignment horizontal="center"/>
    </xf>
  </cellXfs>
  <cellStyles count="4">
    <cellStyle name="Comma" xfId="2" builtinId="3"/>
    <cellStyle name="Comma 2" xfId="3" xr:uid="{72B55575-5927-48E0-8C86-03BEE7EF0595}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'Question 8'!$A$1</c:f>
              <c:strCache>
                <c:ptCount val="1"/>
                <c:pt idx="0">
                  <c:v>Standard Deviation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'Question 8'!$B$1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8-4D98-9184-4CE59F796F77}"/>
            </c:ext>
          </c:extLst>
        </c:ser>
        <c:ser>
          <c:idx val="1"/>
          <c:order val="1"/>
          <c:tx>
            <c:v>RISK FREE ASSET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'Question 8'!$A$2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'Question 8'!$B$2</c:f>
              <c:numCache>
                <c:formatCode>General</c:formatCode>
                <c:ptCount val="1"/>
                <c:pt idx="0">
                  <c:v>4.2799999999999998E-2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B8-4D98-9184-4CE59F796F77}"/>
            </c:ext>
          </c:extLst>
        </c:ser>
        <c:ser>
          <c:idx val="2"/>
          <c:order val="2"/>
          <c:tx>
            <c:v>TANGENCY PORTFOLIO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'Question 8'!$E$3</c:f>
              <c:numCache>
                <c:formatCode>General</c:formatCode>
                <c:ptCount val="1"/>
                <c:pt idx="0">
                  <c:v>0.20838000000000001</c:v>
                </c:pt>
              </c:numCache>
            </c:numRef>
          </c:xVal>
          <c:yVal>
            <c:numRef>
              <c:f>'Question 8'!$E$2</c:f>
              <c:numCache>
                <c:formatCode>General</c:formatCode>
                <c:ptCount val="1"/>
                <c:pt idx="0">
                  <c:v>-2.869E-2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B8-4D98-9184-4CE59F796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66399"/>
        <c:axId val="285567359"/>
      </c:scatterChart>
      <c:valAx>
        <c:axId val="285566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567359"/>
        <c:crosses val="autoZero"/>
        <c:crossBetween val="midCat"/>
      </c:valAx>
      <c:valAx>
        <c:axId val="28556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566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5</xdr:row>
      <xdr:rowOff>128587</xdr:rowOff>
    </xdr:from>
    <xdr:to>
      <xdr:col>11</xdr:col>
      <xdr:colOff>132292</xdr:colOff>
      <xdr:row>20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2208E8-A7A7-AAA8-2F0D-212579A8E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23D9-8C7C-4BA4-8EAC-1527E12BA358}">
  <sheetPr codeName="Sheet1"/>
  <dimension ref="A1:AE130"/>
  <sheetViews>
    <sheetView topLeftCell="A9" zoomScale="42" zoomScaleNormal="42" workbookViewId="0">
      <selection activeCell="AA32" sqref="AA32"/>
    </sheetView>
  </sheetViews>
  <sheetFormatPr defaultColWidth="9.1328125" defaultRowHeight="14.25" x14ac:dyDescent="0.45"/>
  <cols>
    <col min="1" max="1" width="13.3984375" style="4" customWidth="1"/>
    <col min="2" max="2" width="10.59765625" style="4" customWidth="1"/>
    <col min="3" max="3" width="11.3984375" style="4" customWidth="1"/>
    <col min="4" max="4" width="19.3984375" style="4" customWidth="1"/>
    <col min="5" max="5" width="24.1328125" style="4" customWidth="1"/>
    <col min="6" max="6" width="18.265625" style="4" customWidth="1"/>
    <col min="7" max="8" width="9.1328125" style="4"/>
    <col min="9" max="9" width="12.3984375" style="4" customWidth="1"/>
    <col min="10" max="10" width="10.3984375" style="4" customWidth="1"/>
    <col min="11" max="11" width="11.3984375" style="4" customWidth="1"/>
    <col min="12" max="12" width="11.1328125" style="4" customWidth="1"/>
    <col min="13" max="13" width="22.73046875" style="4" customWidth="1"/>
    <col min="14" max="14" width="14.73046875" style="4" customWidth="1"/>
    <col min="15" max="16" width="9.1328125" style="4"/>
    <col min="17" max="17" width="12.265625" style="4" customWidth="1"/>
    <col min="18" max="18" width="12" style="4" customWidth="1"/>
    <col min="19" max="19" width="10.86328125" style="4" customWidth="1"/>
    <col min="20" max="20" width="11.3984375" style="4" customWidth="1"/>
    <col min="21" max="21" width="22.73046875" style="4" customWidth="1"/>
    <col min="22" max="22" width="16.86328125" style="4" customWidth="1"/>
    <col min="23" max="23" width="14.59765625" style="4" customWidth="1"/>
    <col min="24" max="24" width="20.86328125" style="4" customWidth="1"/>
    <col min="25" max="25" width="17.1328125" style="4" customWidth="1"/>
    <col min="26" max="26" width="20.73046875" style="4" customWidth="1"/>
    <col min="27" max="27" width="13.73046875" style="4" bestFit="1" customWidth="1"/>
    <col min="28" max="28" width="9.73046875" style="4" customWidth="1"/>
    <col min="29" max="16384" width="9.1328125" style="4"/>
  </cols>
  <sheetData>
    <row r="1" spans="1:31" x14ac:dyDescent="0.45">
      <c r="A1" s="37" t="s">
        <v>12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</row>
    <row r="3" spans="1:31" x14ac:dyDescent="0.45">
      <c r="A3" s="38" t="s">
        <v>13</v>
      </c>
      <c r="B3" s="38"/>
      <c r="C3" s="38"/>
      <c r="I3" s="38" t="s">
        <v>14</v>
      </c>
      <c r="J3" s="38"/>
      <c r="K3" s="38"/>
      <c r="Q3" s="38" t="s">
        <v>15</v>
      </c>
      <c r="R3" s="39"/>
      <c r="S3" s="39"/>
    </row>
    <row r="4" spans="1:31" x14ac:dyDescent="0.45">
      <c r="A4" s="1" t="s">
        <v>0</v>
      </c>
      <c r="B4" s="1" t="s">
        <v>1</v>
      </c>
      <c r="C4" s="1" t="s">
        <v>2</v>
      </c>
      <c r="I4" s="1" t="s">
        <v>0</v>
      </c>
      <c r="J4" s="1" t="s">
        <v>1</v>
      </c>
      <c r="K4" s="1" t="s">
        <v>2</v>
      </c>
      <c r="Q4" s="1" t="s">
        <v>0</v>
      </c>
      <c r="R4" s="1" t="s">
        <v>1</v>
      </c>
      <c r="S4" s="1" t="s">
        <v>3</v>
      </c>
    </row>
    <row r="5" spans="1:31" x14ac:dyDescent="0.45">
      <c r="A5" s="2">
        <v>45524</v>
      </c>
      <c r="B5" s="3">
        <v>226.51</v>
      </c>
      <c r="C5" s="3"/>
      <c r="E5" s="5" t="s">
        <v>7</v>
      </c>
      <c r="F5" s="3">
        <f>AVERAGE(C6:C130)</f>
        <v>6.5480916858420954E-4</v>
      </c>
      <c r="I5" s="2">
        <v>45524</v>
      </c>
      <c r="J5" s="3">
        <v>424.8</v>
      </c>
      <c r="K5" s="3"/>
      <c r="M5" s="5" t="s">
        <v>7</v>
      </c>
      <c r="N5" s="3">
        <f>AVERAGE(K6:K130)</f>
        <v>-1.6496606787536476E-4</v>
      </c>
      <c r="Q5" s="2">
        <v>45524</v>
      </c>
      <c r="R5" s="3">
        <v>28.9</v>
      </c>
      <c r="S5" s="3"/>
      <c r="U5" s="5" t="s">
        <v>7</v>
      </c>
      <c r="V5" s="3">
        <f>AVERAGE(S6:S130)</f>
        <v>-8.7678901130314993E-4</v>
      </c>
    </row>
    <row r="6" spans="1:31" x14ac:dyDescent="0.45">
      <c r="A6" s="2">
        <v>45525</v>
      </c>
      <c r="B6" s="3">
        <v>226.4</v>
      </c>
      <c r="C6" s="3">
        <f>LN(B6/B5)</f>
        <v>-4.8574772984859386E-4</v>
      </c>
      <c r="E6" s="5" t="s">
        <v>4</v>
      </c>
      <c r="F6" s="3">
        <f>_xlfn.STDEV.S(C6:C130)</f>
        <v>1.3725982956387797E-2</v>
      </c>
      <c r="I6" s="2">
        <v>45525</v>
      </c>
      <c r="J6" s="3">
        <v>424.14</v>
      </c>
      <c r="K6" s="3">
        <f>LN(J6/J5)</f>
        <v>-1.5548805168114723E-3</v>
      </c>
      <c r="M6" s="5" t="s">
        <v>4</v>
      </c>
      <c r="N6" s="3">
        <f>_xlfn.STDEV.S(K6:K130)</f>
        <v>1.3968252499237804E-2</v>
      </c>
      <c r="Q6" s="2">
        <v>45525</v>
      </c>
      <c r="R6" s="3">
        <v>29.03</v>
      </c>
      <c r="S6" s="3">
        <f>LN(R6/R5)</f>
        <v>4.4881829181522264E-3</v>
      </c>
      <c r="U6" s="5" t="s">
        <v>4</v>
      </c>
      <c r="V6" s="3">
        <f>_xlfn.STDEV.S(S6:S130)</f>
        <v>1.3972270952090067E-2</v>
      </c>
    </row>
    <row r="7" spans="1:31" ht="15" customHeight="1" x14ac:dyDescent="0.45">
      <c r="A7" s="2">
        <v>45526</v>
      </c>
      <c r="B7" s="3">
        <v>224.53</v>
      </c>
      <c r="C7" s="3">
        <f t="shared" ref="C7:C24" si="0">LN(B7/B6)</f>
        <v>-8.2940177849183654E-3</v>
      </c>
      <c r="E7" s="5" t="s">
        <v>5</v>
      </c>
      <c r="F7" s="6">
        <f>(B130/B5)^(252/126)-1</f>
        <v>0.17786360364485243</v>
      </c>
      <c r="I7" s="2">
        <v>45526</v>
      </c>
      <c r="J7" s="3">
        <v>415.55</v>
      </c>
      <c r="K7" s="3">
        <f t="shared" ref="K7:K70" si="1">LN(J7/J6)</f>
        <v>-2.0460645411882226E-2</v>
      </c>
      <c r="M7" s="5" t="s">
        <v>5</v>
      </c>
      <c r="N7" s="35">
        <f>(J130/J5)^(252/126)-1</f>
        <v>-4.0402657082894478E-2</v>
      </c>
      <c r="Q7" s="2">
        <v>45526</v>
      </c>
      <c r="R7" s="3">
        <v>28.78</v>
      </c>
      <c r="S7" s="3">
        <f t="shared" ref="S7:S70" si="2">LN(R7/R6)</f>
        <v>-8.6490765773167191E-3</v>
      </c>
      <c r="U7" s="5" t="s">
        <v>5</v>
      </c>
      <c r="V7" s="6">
        <f>(R130/R5)^(252/126)-1</f>
        <v>-0.19683672369823169</v>
      </c>
    </row>
    <row r="8" spans="1:31" x14ac:dyDescent="0.45">
      <c r="A8" s="2">
        <v>45527</v>
      </c>
      <c r="B8" s="3">
        <v>226.84</v>
      </c>
      <c r="C8" s="3">
        <f t="shared" si="0"/>
        <v>1.0235594601717834E-2</v>
      </c>
      <c r="E8" s="5" t="s">
        <v>6</v>
      </c>
      <c r="F8" s="3">
        <f>F6*SQRT(252)</f>
        <v>0.21789322441507944</v>
      </c>
      <c r="I8" s="2">
        <v>45527</v>
      </c>
      <c r="J8" s="3">
        <v>416.79</v>
      </c>
      <c r="K8" s="3">
        <f t="shared" si="1"/>
        <v>2.9795538298447027E-3</v>
      </c>
      <c r="M8" s="5" t="s">
        <v>6</v>
      </c>
      <c r="N8" s="3">
        <f>N6*SQRT(252)</f>
        <v>0.221739134178838</v>
      </c>
      <c r="Q8" s="2">
        <v>45527</v>
      </c>
      <c r="R8" s="3">
        <v>28.9</v>
      </c>
      <c r="S8" s="3">
        <f t="shared" si="2"/>
        <v>4.1608936591647182E-3</v>
      </c>
      <c r="U8" s="5" t="s">
        <v>6</v>
      </c>
      <c r="V8" s="3">
        <f>V6*SQRT(252)</f>
        <v>0.22180292514025193</v>
      </c>
    </row>
    <row r="9" spans="1:31" x14ac:dyDescent="0.45">
      <c r="A9" s="2">
        <v>45530</v>
      </c>
      <c r="B9" s="3">
        <v>227.18</v>
      </c>
      <c r="C9" s="3">
        <f t="shared" si="0"/>
        <v>1.497731657448228E-3</v>
      </c>
      <c r="F9" s="7"/>
      <c r="I9" s="2">
        <v>45530</v>
      </c>
      <c r="J9" s="3">
        <v>413.49</v>
      </c>
      <c r="K9" s="3">
        <f t="shared" si="1"/>
        <v>-7.9491674544228709E-3</v>
      </c>
      <c r="Q9" s="2">
        <v>45530</v>
      </c>
      <c r="R9" s="3">
        <v>28.92</v>
      </c>
      <c r="S9" s="3">
        <f t="shared" si="2"/>
        <v>6.9180217217747176E-4</v>
      </c>
    </row>
    <row r="10" spans="1:31" x14ac:dyDescent="0.45">
      <c r="A10" s="2">
        <v>45531</v>
      </c>
      <c r="B10" s="3">
        <v>228.03</v>
      </c>
      <c r="C10" s="3">
        <f t="shared" si="0"/>
        <v>3.7345444427833042E-3</v>
      </c>
      <c r="E10" s="8" t="s">
        <v>43</v>
      </c>
      <c r="F10" s="3">
        <f>F5*252</f>
        <v>0.16501191048322081</v>
      </c>
      <c r="I10" s="2">
        <v>45531</v>
      </c>
      <c r="J10" s="3">
        <v>413.84</v>
      </c>
      <c r="K10" s="3">
        <f t="shared" si="1"/>
        <v>8.4609532080240444E-4</v>
      </c>
      <c r="M10" s="8" t="s">
        <v>43</v>
      </c>
      <c r="N10" s="3">
        <f>N5*252</f>
        <v>-4.1571449104591922E-2</v>
      </c>
      <c r="Q10" s="2">
        <v>45531</v>
      </c>
      <c r="R10" s="3">
        <v>28.82</v>
      </c>
      <c r="S10" s="3">
        <f t="shared" si="2"/>
        <v>-3.4638067191880072E-3</v>
      </c>
      <c r="U10" s="8" t="s">
        <v>43</v>
      </c>
      <c r="V10" s="3">
        <f>V5*252</f>
        <v>-0.22095083084839379</v>
      </c>
      <c r="X10" s="17" t="s">
        <v>8</v>
      </c>
      <c r="Y10" s="18" t="s">
        <v>9</v>
      </c>
      <c r="Z10" s="18" t="s">
        <v>11</v>
      </c>
      <c r="AA10" s="18" t="s">
        <v>10</v>
      </c>
    </row>
    <row r="11" spans="1:31" ht="14.65" thickBot="1" x14ac:dyDescent="0.5">
      <c r="A11" s="2">
        <v>45532</v>
      </c>
      <c r="B11" s="3">
        <v>226.49</v>
      </c>
      <c r="C11" s="3">
        <f t="shared" si="0"/>
        <v>-6.7764054079900871E-3</v>
      </c>
      <c r="D11" s="9"/>
      <c r="E11" s="10"/>
      <c r="I11" s="2">
        <v>45532</v>
      </c>
      <c r="J11" s="3">
        <v>410.6</v>
      </c>
      <c r="K11" s="3">
        <f t="shared" si="1"/>
        <v>-7.8599211104263648E-3</v>
      </c>
      <c r="Q11" s="2">
        <v>45532</v>
      </c>
      <c r="R11" s="3">
        <v>28.75</v>
      </c>
      <c r="S11" s="3">
        <f t="shared" si="2"/>
        <v>-2.4318233280166226E-3</v>
      </c>
      <c r="X11" s="18" t="s">
        <v>9</v>
      </c>
      <c r="Y11" s="36">
        <f>_xlfn.COVARIANCE.S(C6:C130,C6:C130)</f>
        <v>1.8840260811904826E-4</v>
      </c>
      <c r="Z11" s="36">
        <f>_xlfn.COVARIANCE.S(C6:C130,K6:K130)</f>
        <v>8.4937999713208175E-5</v>
      </c>
      <c r="AA11" s="36">
        <f>_xlfn.COVARIANCE.S(C6:C130,S6:S130)</f>
        <v>2.1466871942116461E-5</v>
      </c>
    </row>
    <row r="12" spans="1:31" ht="14.45" customHeight="1" x14ac:dyDescent="0.45">
      <c r="A12" s="2">
        <v>45533</v>
      </c>
      <c r="B12" s="3">
        <v>229.79</v>
      </c>
      <c r="C12" s="3">
        <f t="shared" si="0"/>
        <v>1.4465054528776243E-2</v>
      </c>
      <c r="E12" s="40" t="s">
        <v>29</v>
      </c>
      <c r="F12" s="41"/>
      <c r="I12" s="2">
        <v>45533</v>
      </c>
      <c r="J12" s="3">
        <v>413.12</v>
      </c>
      <c r="K12" s="3">
        <f t="shared" si="1"/>
        <v>6.1186030734444426E-3</v>
      </c>
      <c r="M12" s="42" t="s">
        <v>30</v>
      </c>
      <c r="N12" s="43"/>
      <c r="Q12" s="2">
        <v>45533</v>
      </c>
      <c r="R12" s="3">
        <v>28.72</v>
      </c>
      <c r="S12" s="3">
        <f t="shared" si="2"/>
        <v>-1.0440230633360385E-3</v>
      </c>
      <c r="U12" s="20" t="s">
        <v>31</v>
      </c>
      <c r="V12" s="21"/>
      <c r="X12" s="18" t="s">
        <v>11</v>
      </c>
      <c r="Y12" s="36">
        <f>Z11</f>
        <v>8.4937999713208175E-5</v>
      </c>
      <c r="Z12" s="36">
        <f>_xlfn.COVARIANCE.S(K6:K130,K6:K130)</f>
        <v>1.9511207788246304E-4</v>
      </c>
      <c r="AA12" s="36">
        <f>_xlfn.COVARIANCE.S(K6:K130,S6:S130)</f>
        <v>6.6322170144959199E-6</v>
      </c>
    </row>
    <row r="13" spans="1:31" x14ac:dyDescent="0.45">
      <c r="A13" s="2">
        <v>45534</v>
      </c>
      <c r="B13" s="3">
        <v>229</v>
      </c>
      <c r="C13" s="3">
        <f t="shared" si="0"/>
        <v>-3.4438448126052909E-3</v>
      </c>
      <c r="E13" s="22"/>
      <c r="F13" s="23"/>
      <c r="I13" s="2">
        <v>45534</v>
      </c>
      <c r="J13" s="3">
        <v>417.14</v>
      </c>
      <c r="K13" s="3">
        <f t="shared" si="1"/>
        <v>9.6837892102111817E-3</v>
      </c>
      <c r="M13" s="22"/>
      <c r="N13" s="23"/>
      <c r="Q13" s="2">
        <v>45534</v>
      </c>
      <c r="R13" s="3">
        <v>29.01</v>
      </c>
      <c r="S13" s="3">
        <f t="shared" si="2"/>
        <v>1.0046853953289395E-2</v>
      </c>
      <c r="U13" s="22"/>
      <c r="V13" s="23"/>
      <c r="X13" s="18" t="s">
        <v>10</v>
      </c>
      <c r="Y13" s="36">
        <f>AA11</f>
        <v>2.1466871942116461E-5</v>
      </c>
      <c r="Z13" s="36">
        <f>AA12</f>
        <v>6.6322170144959199E-6</v>
      </c>
      <c r="AA13" s="19">
        <f>_xlfn.COVARIANCE.S(S6:S130,S6:S130)</f>
        <v>1.952243555586199E-4</v>
      </c>
    </row>
    <row r="14" spans="1:31" x14ac:dyDescent="0.45">
      <c r="A14" s="2">
        <v>45538</v>
      </c>
      <c r="B14" s="3">
        <v>222.77</v>
      </c>
      <c r="C14" s="3">
        <f t="shared" si="0"/>
        <v>-2.7582154477457006E-2</v>
      </c>
      <c r="E14" s="24" t="s">
        <v>16</v>
      </c>
      <c r="F14" s="23">
        <v>233.07555555555555</v>
      </c>
      <c r="I14" s="2">
        <v>45538</v>
      </c>
      <c r="J14" s="3">
        <v>409.44</v>
      </c>
      <c r="K14" s="3">
        <f t="shared" si="1"/>
        <v>-1.8631524457010256E-2</v>
      </c>
      <c r="M14" s="25" t="s">
        <v>16</v>
      </c>
      <c r="N14" s="23">
        <v>423.94595238095212</v>
      </c>
      <c r="Q14" s="2">
        <v>45538</v>
      </c>
      <c r="R14" s="3">
        <v>28.3</v>
      </c>
      <c r="S14" s="3">
        <f t="shared" si="2"/>
        <v>-2.4778793484120706E-2</v>
      </c>
      <c r="U14" s="25" t="s">
        <v>16</v>
      </c>
      <c r="V14" s="23">
        <v>27.362063492063484</v>
      </c>
    </row>
    <row r="15" spans="1:31" x14ac:dyDescent="0.45">
      <c r="A15" s="2">
        <v>45539</v>
      </c>
      <c r="B15" s="3">
        <v>220.85</v>
      </c>
      <c r="C15" s="3">
        <f t="shared" si="0"/>
        <v>-8.6561110342471426E-3</v>
      </c>
      <c r="E15" s="24" t="s">
        <v>17</v>
      </c>
      <c r="F15" s="23">
        <v>0.86700056246154888</v>
      </c>
      <c r="I15" s="2">
        <v>45539</v>
      </c>
      <c r="J15" s="3">
        <v>408.9</v>
      </c>
      <c r="K15" s="3">
        <f t="shared" si="1"/>
        <v>-1.3197450408820716E-3</v>
      </c>
      <c r="M15" s="25" t="s">
        <v>17</v>
      </c>
      <c r="N15" s="23">
        <v>1.0379449364761417</v>
      </c>
      <c r="Q15" s="2">
        <v>45539</v>
      </c>
      <c r="R15" s="3">
        <v>28.39</v>
      </c>
      <c r="S15" s="3">
        <f t="shared" si="2"/>
        <v>3.175165835687813E-3</v>
      </c>
      <c r="U15" s="25" t="s">
        <v>17</v>
      </c>
      <c r="V15" s="23">
        <v>0.13701008269978115</v>
      </c>
      <c r="X15" s="4" t="s">
        <v>50</v>
      </c>
    </row>
    <row r="16" spans="1:31" x14ac:dyDescent="0.45">
      <c r="A16" s="2">
        <v>45540</v>
      </c>
      <c r="B16" s="3">
        <v>222.38</v>
      </c>
      <c r="C16" s="3">
        <f t="shared" si="0"/>
        <v>6.9038922325676197E-3</v>
      </c>
      <c r="E16" s="24" t="s">
        <v>18</v>
      </c>
      <c r="F16" s="23">
        <v>229.92500000000001</v>
      </c>
      <c r="I16" s="2">
        <v>45540</v>
      </c>
      <c r="J16" s="3">
        <v>408.39</v>
      </c>
      <c r="K16" s="3">
        <f t="shared" si="1"/>
        <v>-1.2480271781052238E-3</v>
      </c>
      <c r="M16" s="25" t="s">
        <v>18</v>
      </c>
      <c r="N16" s="23">
        <v>422.76499999999999</v>
      </c>
      <c r="Q16" s="2">
        <v>45540</v>
      </c>
      <c r="R16" s="3">
        <v>28.51</v>
      </c>
      <c r="S16" s="3">
        <f t="shared" si="2"/>
        <v>4.217932439700864E-3</v>
      </c>
      <c r="U16" s="25" t="s">
        <v>18</v>
      </c>
      <c r="V16" s="23">
        <v>26.774999999999999</v>
      </c>
      <c r="X16" s="26" t="s">
        <v>49</v>
      </c>
      <c r="Y16" s="26" t="s">
        <v>34</v>
      </c>
      <c r="Z16" s="26" t="s">
        <v>33</v>
      </c>
      <c r="AA16" s="26" t="s">
        <v>32</v>
      </c>
    </row>
    <row r="17" spans="1:27" x14ac:dyDescent="0.45">
      <c r="A17" s="2">
        <v>45541</v>
      </c>
      <c r="B17" s="3">
        <v>220.82</v>
      </c>
      <c r="C17" s="3">
        <f t="shared" si="0"/>
        <v>-7.0397402641122122E-3</v>
      </c>
      <c r="E17" s="24" t="s">
        <v>19</v>
      </c>
      <c r="F17" s="23">
        <v>229</v>
      </c>
      <c r="I17" s="2">
        <v>45541</v>
      </c>
      <c r="J17" s="3">
        <v>401.7</v>
      </c>
      <c r="K17" s="3">
        <f t="shared" si="1"/>
        <v>-1.6517058827254908E-2</v>
      </c>
      <c r="M17" s="25" t="s">
        <v>19</v>
      </c>
      <c r="N17" s="23" t="e">
        <v>#N/A</v>
      </c>
      <c r="Q17" s="2">
        <v>45541</v>
      </c>
      <c r="R17" s="3">
        <v>28.56</v>
      </c>
      <c r="S17" s="3">
        <f t="shared" si="2"/>
        <v>1.7522345468028661E-3</v>
      </c>
      <c r="U17" s="25" t="s">
        <v>19</v>
      </c>
      <c r="V17" s="23">
        <v>26.72</v>
      </c>
      <c r="X17" s="27">
        <v>0.27694326456074453</v>
      </c>
      <c r="Y17" s="27">
        <v>0.31501931006597639</v>
      </c>
      <c r="Z17" s="27">
        <v>0.40803743380941426</v>
      </c>
      <c r="AA17" s="27">
        <f>X17+Y17+Z17</f>
        <v>1.0000000084361353</v>
      </c>
    </row>
    <row r="18" spans="1:27" x14ac:dyDescent="0.45">
      <c r="A18" s="2">
        <v>45544</v>
      </c>
      <c r="B18" s="3">
        <v>220.91</v>
      </c>
      <c r="C18" s="3">
        <f t="shared" si="0"/>
        <v>4.0748874310253498E-4</v>
      </c>
      <c r="E18" s="24" t="s">
        <v>20</v>
      </c>
      <c r="F18" s="23">
        <v>9.7320571766142496</v>
      </c>
      <c r="I18" s="2">
        <v>45544</v>
      </c>
      <c r="J18" s="3">
        <v>405.72</v>
      </c>
      <c r="K18" s="3">
        <f t="shared" si="1"/>
        <v>9.9577251425585992E-3</v>
      </c>
      <c r="M18" s="25" t="s">
        <v>20</v>
      </c>
      <c r="N18" s="23">
        <v>11.650903015891696</v>
      </c>
      <c r="Q18" s="2">
        <v>45544</v>
      </c>
      <c r="R18" s="3">
        <v>29.41</v>
      </c>
      <c r="S18" s="3">
        <f t="shared" si="2"/>
        <v>2.9327615094520136E-2</v>
      </c>
      <c r="U18" s="25" t="s">
        <v>20</v>
      </c>
      <c r="V18" s="23">
        <v>1.5379343639884342</v>
      </c>
    </row>
    <row r="19" spans="1:27" x14ac:dyDescent="0.45">
      <c r="A19" s="2">
        <v>45545</v>
      </c>
      <c r="B19" s="3">
        <v>220.11</v>
      </c>
      <c r="C19" s="3">
        <f t="shared" si="0"/>
        <v>-3.6279573600808664E-3</v>
      </c>
      <c r="E19" s="24" t="s">
        <v>21</v>
      </c>
      <c r="F19" s="23">
        <v>94.712936888888905</v>
      </c>
      <c r="I19" s="2">
        <v>45545</v>
      </c>
      <c r="J19" s="3">
        <v>414.2</v>
      </c>
      <c r="K19" s="3">
        <f t="shared" si="1"/>
        <v>2.0685682453688709E-2</v>
      </c>
      <c r="M19" s="25" t="s">
        <v>21</v>
      </c>
      <c r="N19" s="23">
        <v>135.74354108571421</v>
      </c>
      <c r="Q19" s="2">
        <v>45545</v>
      </c>
      <c r="R19" s="3">
        <v>29.74</v>
      </c>
      <c r="S19" s="3">
        <f t="shared" si="2"/>
        <v>1.1158188466105263E-2</v>
      </c>
      <c r="U19" s="25" t="s">
        <v>21</v>
      </c>
      <c r="V19" s="23">
        <v>2.3652421079365094</v>
      </c>
      <c r="X19" s="28" t="s">
        <v>36</v>
      </c>
    </row>
    <row r="20" spans="1:27" x14ac:dyDescent="0.45">
      <c r="A20" s="2">
        <v>45546</v>
      </c>
      <c r="B20" s="3">
        <v>222.66</v>
      </c>
      <c r="C20" s="3">
        <f t="shared" si="0"/>
        <v>1.1518522906548473E-2</v>
      </c>
      <c r="E20" s="24" t="s">
        <v>22</v>
      </c>
      <c r="F20" s="23">
        <v>-0.18236178518883195</v>
      </c>
      <c r="I20" s="2">
        <v>45546</v>
      </c>
      <c r="J20" s="3">
        <v>423.04</v>
      </c>
      <c r="K20" s="3">
        <f t="shared" si="1"/>
        <v>2.1117788261783055E-2</v>
      </c>
      <c r="M20" s="25" t="s">
        <v>22</v>
      </c>
      <c r="N20" s="23">
        <v>-0.3596415587620152</v>
      </c>
      <c r="Q20" s="2">
        <v>45546</v>
      </c>
      <c r="R20" s="3">
        <v>29.66</v>
      </c>
      <c r="S20" s="3">
        <f t="shared" si="2"/>
        <v>-2.6936043222229563E-3</v>
      </c>
      <c r="U20" s="25" t="s">
        <v>22</v>
      </c>
      <c r="V20" s="23">
        <v>-1.4751273293245817</v>
      </c>
      <c r="X20" s="44">
        <f>X17^2*Y11+Y17^2*Z12+Z17^2*AA13+2*X17*Y17*Z11+2*X17*Z17*AA11+2*Y17*Z17*AA12</f>
        <v>8.7693242955976303E-5</v>
      </c>
    </row>
    <row r="21" spans="1:27" x14ac:dyDescent="0.45">
      <c r="A21" s="2">
        <v>45547</v>
      </c>
      <c r="B21" s="3">
        <v>222.77</v>
      </c>
      <c r="C21" s="3">
        <f t="shared" si="0"/>
        <v>4.9390477622147076E-4</v>
      </c>
      <c r="E21" s="24" t="s">
        <v>23</v>
      </c>
      <c r="F21" s="23">
        <v>0.78508947852087796</v>
      </c>
      <c r="I21" s="2">
        <v>45547</v>
      </c>
      <c r="J21" s="3">
        <v>427</v>
      </c>
      <c r="K21" s="3">
        <f t="shared" si="1"/>
        <v>9.317276005357816E-3</v>
      </c>
      <c r="M21" s="25" t="s">
        <v>23</v>
      </c>
      <c r="N21" s="23">
        <v>0.60627000409084575</v>
      </c>
      <c r="Q21" s="2">
        <v>45547</v>
      </c>
      <c r="R21" s="3">
        <v>29.16</v>
      </c>
      <c r="S21" s="3">
        <f t="shared" si="2"/>
        <v>-1.7001429569328694E-2</v>
      </c>
      <c r="U21" s="25" t="s">
        <v>23</v>
      </c>
      <c r="V21" s="23">
        <v>0.14685133592749328</v>
      </c>
    </row>
    <row r="22" spans="1:27" x14ac:dyDescent="0.45">
      <c r="A22" s="2">
        <v>45548</v>
      </c>
      <c r="B22" s="3">
        <v>222.5</v>
      </c>
      <c r="C22" s="3">
        <f t="shared" si="0"/>
        <v>-1.2127474704876769E-3</v>
      </c>
      <c r="E22" s="24" t="s">
        <v>24</v>
      </c>
      <c r="F22" s="23">
        <v>42.699999999999989</v>
      </c>
      <c r="I22" s="2">
        <v>45548</v>
      </c>
      <c r="J22" s="3">
        <v>430.59</v>
      </c>
      <c r="K22" s="3">
        <f t="shared" si="1"/>
        <v>8.3723480227740621E-3</v>
      </c>
      <c r="M22" s="25" t="s">
        <v>24</v>
      </c>
      <c r="N22" s="23">
        <v>52.759999999999991</v>
      </c>
      <c r="Q22" s="2">
        <v>45548</v>
      </c>
      <c r="R22" s="3">
        <v>29.27</v>
      </c>
      <c r="S22" s="3">
        <f t="shared" si="2"/>
        <v>3.765193563337074E-3</v>
      </c>
      <c r="U22" s="25" t="s">
        <v>24</v>
      </c>
      <c r="V22" s="23">
        <v>5.3900000000000006</v>
      </c>
      <c r="X22" s="29" t="s">
        <v>37</v>
      </c>
      <c r="Y22" s="30">
        <f>X17*F5+Y17*N5+Z17*V5</f>
        <v>-2.2838524623880731E-4</v>
      </c>
      <c r="Z22" s="31">
        <f>Y22*252</f>
        <v>-5.7553082052179447E-2</v>
      </c>
    </row>
    <row r="23" spans="1:27" x14ac:dyDescent="0.45">
      <c r="A23" s="2">
        <v>45551</v>
      </c>
      <c r="B23" s="3">
        <v>216.32</v>
      </c>
      <c r="C23" s="3">
        <f t="shared" si="0"/>
        <v>-2.8168308751695719E-2</v>
      </c>
      <c r="E23" s="24" t="s">
        <v>25</v>
      </c>
      <c r="F23" s="23">
        <v>216.32</v>
      </c>
      <c r="I23" s="2">
        <v>45551</v>
      </c>
      <c r="J23" s="3">
        <v>431.34</v>
      </c>
      <c r="K23" s="3">
        <f t="shared" si="1"/>
        <v>1.7402809724365456E-3</v>
      </c>
      <c r="M23" s="25" t="s">
        <v>25</v>
      </c>
      <c r="N23" s="23">
        <v>401.7</v>
      </c>
      <c r="Q23" s="2">
        <v>45551</v>
      </c>
      <c r="R23" s="3">
        <v>30.07</v>
      </c>
      <c r="S23" s="3">
        <f t="shared" si="2"/>
        <v>2.6964896296643278E-2</v>
      </c>
      <c r="U23" s="25" t="s">
        <v>25</v>
      </c>
      <c r="V23" s="23">
        <v>24.8</v>
      </c>
      <c r="X23" s="29" t="s">
        <v>38</v>
      </c>
      <c r="Y23" s="30">
        <f>SQRT(X20)</f>
        <v>9.3644670406796936E-3</v>
      </c>
      <c r="Z23" s="31">
        <f>Y23*SQRT(252)</f>
        <v>0.14865630570179669</v>
      </c>
    </row>
    <row r="24" spans="1:27" x14ac:dyDescent="0.45">
      <c r="A24" s="2">
        <v>45552</v>
      </c>
      <c r="B24" s="3">
        <v>216.79</v>
      </c>
      <c r="C24" s="3">
        <f t="shared" si="0"/>
        <v>2.1703501858254429E-3</v>
      </c>
      <c r="E24" s="24" t="s">
        <v>26</v>
      </c>
      <c r="F24" s="23">
        <v>259.02</v>
      </c>
      <c r="I24" s="2">
        <v>45552</v>
      </c>
      <c r="J24" s="3">
        <v>435.15</v>
      </c>
      <c r="K24" s="3">
        <f t="shared" si="1"/>
        <v>8.7941570116875194E-3</v>
      </c>
      <c r="M24" s="25" t="s">
        <v>26</v>
      </c>
      <c r="N24" s="23">
        <v>454.46</v>
      </c>
      <c r="Q24" s="2">
        <v>45552</v>
      </c>
      <c r="R24" s="3">
        <v>29.83</v>
      </c>
      <c r="S24" s="3">
        <f t="shared" si="2"/>
        <v>-8.0133984737805943E-3</v>
      </c>
      <c r="U24" s="25" t="s">
        <v>26</v>
      </c>
      <c r="V24" s="23">
        <v>30.19</v>
      </c>
    </row>
    <row r="25" spans="1:27" x14ac:dyDescent="0.45">
      <c r="A25" s="2">
        <v>45553</v>
      </c>
      <c r="B25" s="3">
        <v>220.69</v>
      </c>
      <c r="C25" s="3">
        <f t="shared" ref="C25:C70" si="3">LN(B25/B24)</f>
        <v>1.7829858819643829E-2</v>
      </c>
      <c r="E25" s="24" t="s">
        <v>27</v>
      </c>
      <c r="F25" s="23">
        <v>29367.52</v>
      </c>
      <c r="I25" s="2">
        <v>45553</v>
      </c>
      <c r="J25" s="3">
        <v>430.81</v>
      </c>
      <c r="K25" s="3">
        <f t="shared" si="1"/>
        <v>-1.0023641595028616E-2</v>
      </c>
      <c r="M25" s="25" t="s">
        <v>27</v>
      </c>
      <c r="N25" s="23">
        <v>53417.189999999966</v>
      </c>
      <c r="Q25" s="2">
        <v>45553</v>
      </c>
      <c r="R25" s="3">
        <v>29.75</v>
      </c>
      <c r="S25" s="3">
        <f t="shared" si="2"/>
        <v>-2.6854665350183296E-3</v>
      </c>
      <c r="U25" s="25" t="s">
        <v>27</v>
      </c>
      <c r="V25" s="23">
        <v>3447.619999999999</v>
      </c>
    </row>
    <row r="26" spans="1:27" ht="14.65" thickBot="1" x14ac:dyDescent="0.5">
      <c r="A26" s="2">
        <v>45554</v>
      </c>
      <c r="B26" s="3">
        <v>228.87</v>
      </c>
      <c r="C26" s="3">
        <f t="shared" si="3"/>
        <v>3.6395154910179209E-2</v>
      </c>
      <c r="E26" s="32" t="s">
        <v>28</v>
      </c>
      <c r="F26" s="33">
        <v>126</v>
      </c>
      <c r="I26" s="2">
        <v>45554</v>
      </c>
      <c r="J26" s="3">
        <v>438.69</v>
      </c>
      <c r="K26" s="3">
        <f t="shared" si="1"/>
        <v>1.8125855651403351E-2</v>
      </c>
      <c r="M26" s="34" t="s">
        <v>28</v>
      </c>
      <c r="N26" s="33">
        <v>126</v>
      </c>
      <c r="Q26" s="2">
        <v>45554</v>
      </c>
      <c r="R26" s="3">
        <v>29.66</v>
      </c>
      <c r="S26" s="3">
        <f t="shared" si="2"/>
        <v>-3.0297952818526745E-3</v>
      </c>
      <c r="U26" s="34" t="s">
        <v>28</v>
      </c>
      <c r="V26" s="33">
        <v>126</v>
      </c>
    </row>
    <row r="27" spans="1:27" x14ac:dyDescent="0.45">
      <c r="A27" s="2">
        <v>45555</v>
      </c>
      <c r="B27" s="3">
        <v>228.2</v>
      </c>
      <c r="C27" s="3">
        <f t="shared" si="3"/>
        <v>-2.9317193422724623E-3</v>
      </c>
      <c r="I27" s="2">
        <v>45555</v>
      </c>
      <c r="J27" s="3">
        <v>435.27</v>
      </c>
      <c r="K27" s="3">
        <f t="shared" si="1"/>
        <v>-7.8264850961940139E-3</v>
      </c>
      <c r="Q27" s="2">
        <v>45555</v>
      </c>
      <c r="R27" s="3">
        <v>29.42</v>
      </c>
      <c r="S27" s="3">
        <f t="shared" si="2"/>
        <v>-8.1246215364945227E-3</v>
      </c>
    </row>
    <row r="28" spans="1:27" ht="14.65" thickBot="1" x14ac:dyDescent="0.5">
      <c r="A28" s="2">
        <v>45558</v>
      </c>
      <c r="B28" s="3">
        <v>226.47</v>
      </c>
      <c r="C28" s="3">
        <f t="shared" si="3"/>
        <v>-7.6099516083320351E-3</v>
      </c>
      <c r="E28" s="11" t="s">
        <v>42</v>
      </c>
      <c r="I28" s="2">
        <v>45558</v>
      </c>
      <c r="J28" s="3">
        <v>433.51</v>
      </c>
      <c r="K28" s="3">
        <f t="shared" si="1"/>
        <v>-4.051664190420563E-3</v>
      </c>
      <c r="M28" s="11" t="s">
        <v>42</v>
      </c>
      <c r="Q28" s="2">
        <v>45558</v>
      </c>
      <c r="R28" s="3">
        <v>29.31</v>
      </c>
      <c r="S28" s="3">
        <f t="shared" si="2"/>
        <v>-3.7459604504904631E-3</v>
      </c>
      <c r="U28" s="11" t="s">
        <v>42</v>
      </c>
    </row>
    <row r="29" spans="1:27" x14ac:dyDescent="0.45">
      <c r="A29" s="2">
        <v>45559</v>
      </c>
      <c r="B29" s="3">
        <v>227.37</v>
      </c>
      <c r="C29" s="3">
        <f t="shared" si="3"/>
        <v>3.9661606724042875E-3</v>
      </c>
      <c r="E29" s="12" t="s">
        <v>39</v>
      </c>
      <c r="I29" s="2">
        <v>45559</v>
      </c>
      <c r="J29" s="3">
        <v>429.17</v>
      </c>
      <c r="K29" s="3">
        <f t="shared" si="1"/>
        <v>-1.0061753175372987E-2</v>
      </c>
      <c r="M29" s="12" t="s">
        <v>39</v>
      </c>
      <c r="Q29" s="2">
        <v>45559</v>
      </c>
      <c r="R29" s="3">
        <v>29.5</v>
      </c>
      <c r="S29" s="3">
        <f t="shared" si="2"/>
        <v>6.4615086229732055E-3</v>
      </c>
      <c r="U29" s="12" t="s">
        <v>41</v>
      </c>
    </row>
    <row r="30" spans="1:27" x14ac:dyDescent="0.45">
      <c r="A30" s="2">
        <v>45560</v>
      </c>
      <c r="B30" s="3">
        <v>226.37</v>
      </c>
      <c r="C30" s="3">
        <f t="shared" si="3"/>
        <v>-4.407817777012997E-3</v>
      </c>
      <c r="E30" s="13" cm="1">
        <f t="array" ref="E30">CAGR(226.51,245.83,0.5)</f>
        <v>0.17786360364485243</v>
      </c>
      <c r="I30" s="2">
        <v>45560</v>
      </c>
      <c r="J30" s="3">
        <v>432.11</v>
      </c>
      <c r="K30" s="3">
        <f t="shared" si="1"/>
        <v>6.8270746312079078E-3</v>
      </c>
      <c r="M30" s="13" cm="1">
        <f t="array" ref="M30">CAGR(424.8,416.13,0.5)</f>
        <v>-4.0402657082894478E-2</v>
      </c>
      <c r="Q30" s="2">
        <v>45560</v>
      </c>
      <c r="R30" s="3">
        <v>28.93</v>
      </c>
      <c r="S30" s="3">
        <f t="shared" si="2"/>
        <v>-1.9511144357730444E-2</v>
      </c>
      <c r="U30" s="13" cm="1">
        <f t="array" ref="U30">CAGR(28.9,25.9,0.5)</f>
        <v>-0.19683672369823169</v>
      </c>
    </row>
    <row r="31" spans="1:27" x14ac:dyDescent="0.45">
      <c r="A31" s="2">
        <v>45561</v>
      </c>
      <c r="B31" s="3">
        <v>227.52</v>
      </c>
      <c r="C31" s="3">
        <f t="shared" si="3"/>
        <v>5.0673178998415468E-3</v>
      </c>
      <c r="E31" s="13"/>
      <c r="I31" s="2">
        <v>45561</v>
      </c>
      <c r="J31" s="3">
        <v>431.31</v>
      </c>
      <c r="K31" s="3">
        <f t="shared" si="1"/>
        <v>-1.8530963585069932E-3</v>
      </c>
      <c r="M31" s="13"/>
      <c r="Q31" s="2">
        <v>45561</v>
      </c>
      <c r="R31" s="3">
        <v>28.97</v>
      </c>
      <c r="S31" s="3">
        <f t="shared" si="2"/>
        <v>1.3816927932151948E-3</v>
      </c>
      <c r="U31" s="13"/>
    </row>
    <row r="32" spans="1:27" x14ac:dyDescent="0.45">
      <c r="A32" s="2">
        <v>45562</v>
      </c>
      <c r="B32" s="3">
        <v>227.79</v>
      </c>
      <c r="C32" s="3">
        <f t="shared" si="3"/>
        <v>1.1860052783758518E-3</v>
      </c>
      <c r="E32" s="15" t="s">
        <v>40</v>
      </c>
      <c r="I32" s="2">
        <v>45562</v>
      </c>
      <c r="J32" s="3">
        <v>428.02</v>
      </c>
      <c r="K32" s="3">
        <f t="shared" si="1"/>
        <v>-7.6571656406158482E-3</v>
      </c>
      <c r="M32" s="14" t="s">
        <v>40</v>
      </c>
      <c r="Q32" s="2">
        <v>45562</v>
      </c>
      <c r="R32" s="3">
        <v>29.09</v>
      </c>
      <c r="S32" s="3">
        <f t="shared" si="2"/>
        <v>4.1336607258513763E-3</v>
      </c>
      <c r="U32" s="14" t="s">
        <v>40</v>
      </c>
    </row>
    <row r="33" spans="1:24" ht="14.65" thickBot="1" x14ac:dyDescent="0.5">
      <c r="A33" s="2">
        <v>45565</v>
      </c>
      <c r="B33" s="3">
        <v>233</v>
      </c>
      <c r="C33" s="3">
        <f t="shared" si="3"/>
        <v>2.2614301672448562E-2</v>
      </c>
      <c r="E33" s="16" cm="1">
        <f t="array" ref="E33">AnnualVolatility(B5:B130)</f>
        <v>0.21789322441507944</v>
      </c>
      <c r="I33" s="2">
        <v>45565</v>
      </c>
      <c r="J33" s="3">
        <v>430.3</v>
      </c>
      <c r="K33" s="3">
        <f t="shared" si="1"/>
        <v>5.3127163825590863E-3</v>
      </c>
      <c r="M33" s="16" cm="1">
        <f t="array" ref="M33">AnnualVolatility(J5:J130)</f>
        <v>0.22173913417883792</v>
      </c>
      <c r="Q33" s="2">
        <v>45565</v>
      </c>
      <c r="R33" s="3">
        <v>28.94</v>
      </c>
      <c r="S33" s="3">
        <f t="shared" si="2"/>
        <v>-5.1697513037724423E-3</v>
      </c>
      <c r="U33" s="16" cm="1">
        <f t="array" ref="U33">AnnualVolatility(R5:R130)</f>
        <v>0.22180292514025196</v>
      </c>
    </row>
    <row r="34" spans="1:24" x14ac:dyDescent="0.45">
      <c r="A34" s="2">
        <v>45566</v>
      </c>
      <c r="B34" s="3">
        <v>226.21</v>
      </c>
      <c r="C34" s="3">
        <f t="shared" si="3"/>
        <v>-2.9574682195956357E-2</v>
      </c>
      <c r="I34" s="2">
        <v>45566</v>
      </c>
      <c r="J34" s="3">
        <v>420.69</v>
      </c>
      <c r="K34" s="3">
        <f t="shared" si="1"/>
        <v>-2.2586419437884826E-2</v>
      </c>
      <c r="Q34" s="2">
        <v>45566</v>
      </c>
      <c r="R34" s="3">
        <v>28.67</v>
      </c>
      <c r="S34" s="3">
        <f t="shared" si="2"/>
        <v>-9.3734413080593208E-3</v>
      </c>
    </row>
    <row r="35" spans="1:24" x14ac:dyDescent="0.45">
      <c r="A35" s="2">
        <v>45567</v>
      </c>
      <c r="B35" s="3">
        <v>226.78</v>
      </c>
      <c r="C35" s="3">
        <f t="shared" si="3"/>
        <v>2.5166131739495158E-3</v>
      </c>
      <c r="I35" s="2">
        <v>45567</v>
      </c>
      <c r="J35" s="3">
        <v>417.13</v>
      </c>
      <c r="K35" s="3">
        <f t="shared" si="1"/>
        <v>-8.4982965924682314E-3</v>
      </c>
      <c r="Q35" s="2">
        <v>45567</v>
      </c>
      <c r="R35" s="3">
        <v>28.61</v>
      </c>
      <c r="S35" s="3">
        <f t="shared" si="2"/>
        <v>-2.0949728332597083E-3</v>
      </c>
      <c r="X35" s="7"/>
    </row>
    <row r="36" spans="1:24" x14ac:dyDescent="0.45">
      <c r="A36" s="2">
        <v>45568</v>
      </c>
      <c r="B36" s="3">
        <v>225.67</v>
      </c>
      <c r="C36" s="3">
        <f t="shared" si="3"/>
        <v>-4.9066293598749146E-3</v>
      </c>
      <c r="I36" s="2">
        <v>45568</v>
      </c>
      <c r="J36" s="3">
        <v>416.54</v>
      </c>
      <c r="K36" s="3">
        <f t="shared" si="1"/>
        <v>-1.415428403330617E-3</v>
      </c>
      <c r="Q36" s="2">
        <v>45568</v>
      </c>
      <c r="R36" s="3">
        <v>28.34</v>
      </c>
      <c r="S36" s="3">
        <f t="shared" si="2"/>
        <v>-9.4820727994844988E-3</v>
      </c>
      <c r="X36" s="7"/>
    </row>
    <row r="37" spans="1:24" x14ac:dyDescent="0.45">
      <c r="A37" s="2">
        <v>45569</v>
      </c>
      <c r="B37" s="3">
        <v>226.8</v>
      </c>
      <c r="C37" s="3">
        <f t="shared" si="3"/>
        <v>4.9948166697781288E-3</v>
      </c>
      <c r="I37" s="2">
        <v>45569</v>
      </c>
      <c r="J37" s="3">
        <v>416.06</v>
      </c>
      <c r="K37" s="3">
        <f t="shared" si="1"/>
        <v>-1.1530147806335601E-3</v>
      </c>
      <c r="Q37" s="2">
        <v>45569</v>
      </c>
      <c r="R37" s="3">
        <v>28.58</v>
      </c>
      <c r="S37" s="3">
        <f t="shared" si="2"/>
        <v>8.4329382391869698E-3</v>
      </c>
    </row>
    <row r="38" spans="1:24" x14ac:dyDescent="0.45">
      <c r="A38" s="2">
        <v>45572</v>
      </c>
      <c r="B38" s="3">
        <v>221.69</v>
      </c>
      <c r="C38" s="3">
        <f t="shared" si="3"/>
        <v>-2.2788562247735331E-2</v>
      </c>
      <c r="I38" s="2">
        <v>45572</v>
      </c>
      <c r="J38" s="3">
        <v>409.54</v>
      </c>
      <c r="K38" s="3">
        <f t="shared" si="1"/>
        <v>-1.5794902009822458E-2</v>
      </c>
      <c r="Q38" s="2">
        <v>45572</v>
      </c>
      <c r="R38" s="3">
        <v>29.2</v>
      </c>
      <c r="S38" s="3">
        <f t="shared" si="2"/>
        <v>2.1461536772514764E-2</v>
      </c>
    </row>
    <row r="39" spans="1:24" x14ac:dyDescent="0.45">
      <c r="A39" s="2">
        <v>45573</v>
      </c>
      <c r="B39" s="3">
        <v>225.77</v>
      </c>
      <c r="C39" s="3">
        <f t="shared" si="3"/>
        <v>1.8236772344019592E-2</v>
      </c>
      <c r="I39" s="2">
        <v>45573</v>
      </c>
      <c r="J39" s="3">
        <v>414.71</v>
      </c>
      <c r="K39" s="3">
        <f t="shared" si="1"/>
        <v>1.2544902158405345E-2</v>
      </c>
      <c r="Q39" s="2">
        <v>45573</v>
      </c>
      <c r="R39" s="3">
        <v>29.18</v>
      </c>
      <c r="S39" s="3">
        <f t="shared" si="2"/>
        <v>-6.8516617959650148E-4</v>
      </c>
    </row>
    <row r="40" spans="1:24" x14ac:dyDescent="0.45">
      <c r="A40" s="2">
        <v>45574</v>
      </c>
      <c r="B40" s="3">
        <v>229.54</v>
      </c>
      <c r="C40" s="3">
        <f t="shared" si="3"/>
        <v>1.6560524302640989E-2</v>
      </c>
      <c r="I40" s="2">
        <v>45574</v>
      </c>
      <c r="J40" s="3">
        <v>417.46</v>
      </c>
      <c r="K40" s="3">
        <f t="shared" si="1"/>
        <v>6.6092505389408794E-3</v>
      </c>
      <c r="Q40" s="2">
        <v>45574</v>
      </c>
      <c r="R40" s="3">
        <v>30.19</v>
      </c>
      <c r="S40" s="3">
        <f t="shared" si="2"/>
        <v>3.4027200624107794E-2</v>
      </c>
    </row>
    <row r="41" spans="1:24" x14ac:dyDescent="0.45">
      <c r="A41" s="2">
        <v>45575</v>
      </c>
      <c r="B41" s="3">
        <v>229.04</v>
      </c>
      <c r="C41" s="3">
        <f t="shared" si="3"/>
        <v>-2.1806454626626935E-3</v>
      </c>
      <c r="I41" s="2">
        <v>45575</v>
      </c>
      <c r="J41" s="3">
        <v>415.84</v>
      </c>
      <c r="K41" s="3">
        <f t="shared" si="1"/>
        <v>-3.8881604245801747E-3</v>
      </c>
      <c r="Q41" s="2">
        <v>45575</v>
      </c>
      <c r="R41" s="3">
        <v>29.34</v>
      </c>
      <c r="S41" s="3">
        <f t="shared" si="2"/>
        <v>-2.8558971003911776E-2</v>
      </c>
    </row>
    <row r="42" spans="1:24" x14ac:dyDescent="0.45">
      <c r="A42" s="2">
        <v>45576</v>
      </c>
      <c r="B42" s="3">
        <v>227.55</v>
      </c>
      <c r="C42" s="3">
        <f t="shared" si="3"/>
        <v>-6.5266663272085766E-3</v>
      </c>
      <c r="I42" s="2">
        <v>45576</v>
      </c>
      <c r="J42" s="3">
        <v>416.32</v>
      </c>
      <c r="K42" s="3">
        <f t="shared" si="1"/>
        <v>1.1536244309604711E-3</v>
      </c>
      <c r="Q42" s="2">
        <v>45576</v>
      </c>
      <c r="R42" s="3">
        <v>29.16</v>
      </c>
      <c r="S42" s="3">
        <f t="shared" si="2"/>
        <v>-6.1538655743782235E-3</v>
      </c>
    </row>
    <row r="43" spans="1:24" x14ac:dyDescent="0.45">
      <c r="A43" s="2">
        <v>45579</v>
      </c>
      <c r="B43" s="3">
        <v>231.3</v>
      </c>
      <c r="C43" s="3">
        <f t="shared" si="3"/>
        <v>1.6345574774742577E-2</v>
      </c>
      <c r="I43" s="2">
        <v>45579</v>
      </c>
      <c r="J43" s="3">
        <v>419.14</v>
      </c>
      <c r="K43" s="3">
        <f t="shared" si="1"/>
        <v>6.7507976676563454E-3</v>
      </c>
      <c r="Q43" s="2">
        <v>45579</v>
      </c>
      <c r="R43" s="3">
        <v>29.08</v>
      </c>
      <c r="S43" s="3">
        <f t="shared" si="2"/>
        <v>-2.747254475138807E-3</v>
      </c>
    </row>
    <row r="44" spans="1:24" x14ac:dyDescent="0.45">
      <c r="A44" s="2">
        <v>45580</v>
      </c>
      <c r="B44" s="3">
        <v>233.85</v>
      </c>
      <c r="C44" s="3">
        <f t="shared" si="3"/>
        <v>1.0964314934501682E-2</v>
      </c>
      <c r="I44" s="2">
        <v>45580</v>
      </c>
      <c r="J44" s="3">
        <v>418.74</v>
      </c>
      <c r="K44" s="3">
        <f t="shared" si="1"/>
        <v>-9.5479073468157682E-4</v>
      </c>
      <c r="Q44" s="2">
        <v>45580</v>
      </c>
      <c r="R44" s="3">
        <v>29.44</v>
      </c>
      <c r="S44" s="3">
        <f t="shared" si="2"/>
        <v>1.2303641195356952E-2</v>
      </c>
    </row>
    <row r="45" spans="1:24" x14ac:dyDescent="0.45">
      <c r="A45" s="2">
        <v>45581</v>
      </c>
      <c r="B45" s="3">
        <v>231.78</v>
      </c>
      <c r="C45" s="3">
        <f t="shared" si="3"/>
        <v>-8.8912382656501972E-3</v>
      </c>
      <c r="I45" s="2">
        <v>45581</v>
      </c>
      <c r="J45" s="3">
        <v>416.12</v>
      </c>
      <c r="K45" s="3">
        <f t="shared" si="1"/>
        <v>-6.2765220544207835E-3</v>
      </c>
      <c r="Q45" s="2">
        <v>45581</v>
      </c>
      <c r="R45" s="3">
        <v>29.67</v>
      </c>
      <c r="S45" s="3">
        <f t="shared" si="2"/>
        <v>7.782140442054949E-3</v>
      </c>
    </row>
    <row r="46" spans="1:24" x14ac:dyDescent="0.45">
      <c r="A46" s="2">
        <v>45582</v>
      </c>
      <c r="B46" s="3">
        <v>232.15</v>
      </c>
      <c r="C46" s="3">
        <f t="shared" si="3"/>
        <v>1.5950685596858294E-3</v>
      </c>
      <c r="I46" s="2">
        <v>45582</v>
      </c>
      <c r="J46" s="3">
        <v>416.72</v>
      </c>
      <c r="K46" s="3">
        <f t="shared" si="1"/>
        <v>1.4408532342417256E-3</v>
      </c>
      <c r="Q46" s="2">
        <v>45582</v>
      </c>
      <c r="R46" s="3">
        <v>29.27</v>
      </c>
      <c r="S46" s="3">
        <f t="shared" si="2"/>
        <v>-1.3573333598936059E-2</v>
      </c>
    </row>
    <row r="47" spans="1:24" x14ac:dyDescent="0.45">
      <c r="A47" s="2">
        <v>45583</v>
      </c>
      <c r="B47" s="3">
        <v>235</v>
      </c>
      <c r="C47" s="3">
        <f t="shared" si="3"/>
        <v>1.2201799678228265E-2</v>
      </c>
      <c r="I47" s="2">
        <v>45583</v>
      </c>
      <c r="J47" s="3">
        <v>418.16</v>
      </c>
      <c r="K47" s="3">
        <f t="shared" si="1"/>
        <v>3.4496009677303843E-3</v>
      </c>
      <c r="Q47" s="2">
        <v>45583</v>
      </c>
      <c r="R47" s="3">
        <v>29.22</v>
      </c>
      <c r="S47" s="3">
        <f t="shared" si="2"/>
        <v>-1.7096943812410614E-3</v>
      </c>
    </row>
    <row r="48" spans="1:24" x14ac:dyDescent="0.45">
      <c r="A48" s="2">
        <v>45586</v>
      </c>
      <c r="B48" s="3">
        <v>236.48</v>
      </c>
      <c r="C48" s="3">
        <f t="shared" si="3"/>
        <v>6.278123615677908E-3</v>
      </c>
      <c r="I48" s="2">
        <v>45586</v>
      </c>
      <c r="J48" s="3">
        <v>418.78</v>
      </c>
      <c r="K48" s="3">
        <f t="shared" si="1"/>
        <v>1.4815879595039864E-3</v>
      </c>
      <c r="Q48" s="2">
        <v>45586</v>
      </c>
      <c r="R48" s="3">
        <v>28.93</v>
      </c>
      <c r="S48" s="3">
        <f t="shared" si="2"/>
        <v>-9.9742873345096857E-3</v>
      </c>
    </row>
    <row r="49" spans="1:19" x14ac:dyDescent="0.45">
      <c r="A49" s="2">
        <v>45587</v>
      </c>
      <c r="B49" s="3">
        <v>235.86</v>
      </c>
      <c r="C49" s="3">
        <f t="shared" si="3"/>
        <v>-2.625229098012868E-3</v>
      </c>
      <c r="I49" s="2">
        <v>45587</v>
      </c>
      <c r="J49" s="3">
        <v>427.51</v>
      </c>
      <c r="K49" s="3">
        <f t="shared" si="1"/>
        <v>2.0631957551925872E-2</v>
      </c>
      <c r="Q49" s="2">
        <v>45587</v>
      </c>
      <c r="R49" s="3">
        <v>28.84</v>
      </c>
      <c r="S49" s="3">
        <f t="shared" si="2"/>
        <v>-3.1158065712953765E-3</v>
      </c>
    </row>
    <row r="50" spans="1:19" x14ac:dyDescent="0.45">
      <c r="A50" s="2">
        <v>45588</v>
      </c>
      <c r="B50" s="3">
        <v>230.76</v>
      </c>
      <c r="C50" s="3">
        <f t="shared" si="3"/>
        <v>-2.1860199273135369E-2</v>
      </c>
      <c r="I50" s="2">
        <v>45588</v>
      </c>
      <c r="J50" s="3">
        <v>424.6</v>
      </c>
      <c r="K50" s="3">
        <f t="shared" si="1"/>
        <v>-6.8301306469403964E-3</v>
      </c>
      <c r="Q50" s="2">
        <v>45588</v>
      </c>
      <c r="R50" s="3">
        <v>28.86</v>
      </c>
      <c r="S50" s="3">
        <f t="shared" si="2"/>
        <v>6.9324092897648625E-4</v>
      </c>
    </row>
    <row r="51" spans="1:19" x14ac:dyDescent="0.45">
      <c r="A51" s="2">
        <v>45589</v>
      </c>
      <c r="B51" s="3">
        <v>230.57</v>
      </c>
      <c r="C51" s="3">
        <f t="shared" si="3"/>
        <v>-8.2370542016678883E-4</v>
      </c>
      <c r="I51" s="2">
        <v>45589</v>
      </c>
      <c r="J51" s="3">
        <v>424.73</v>
      </c>
      <c r="K51" s="3">
        <f t="shared" si="1"/>
        <v>3.0612365279741416E-4</v>
      </c>
      <c r="Q51" s="2">
        <v>45589</v>
      </c>
      <c r="R51" s="3">
        <v>28.64</v>
      </c>
      <c r="S51" s="3">
        <f t="shared" si="2"/>
        <v>-7.6522112532799291E-3</v>
      </c>
    </row>
    <row r="52" spans="1:19" x14ac:dyDescent="0.45">
      <c r="A52" s="2">
        <v>45590</v>
      </c>
      <c r="B52" s="3">
        <v>231.41</v>
      </c>
      <c r="C52" s="3">
        <f t="shared" si="3"/>
        <v>3.6365250690583951E-3</v>
      </c>
      <c r="I52" s="2">
        <v>45590</v>
      </c>
      <c r="J52" s="3">
        <v>428.15</v>
      </c>
      <c r="K52" s="3">
        <f t="shared" si="1"/>
        <v>8.0199285502477527E-3</v>
      </c>
      <c r="Q52" s="2">
        <v>45590</v>
      </c>
      <c r="R52" s="3">
        <v>28.45</v>
      </c>
      <c r="S52" s="3">
        <f t="shared" si="2"/>
        <v>-6.6561815201049979E-3</v>
      </c>
    </row>
    <row r="53" spans="1:19" x14ac:dyDescent="0.45">
      <c r="A53" s="2">
        <v>45593</v>
      </c>
      <c r="B53" s="3">
        <v>233.4</v>
      </c>
      <c r="C53" s="3">
        <f t="shared" si="3"/>
        <v>8.5626908148752033E-3</v>
      </c>
      <c r="I53" s="2">
        <v>45593</v>
      </c>
      <c r="J53" s="3">
        <v>426.59</v>
      </c>
      <c r="K53" s="3">
        <f t="shared" si="1"/>
        <v>-3.6502368723809321E-3</v>
      </c>
      <c r="Q53" s="2">
        <v>45593</v>
      </c>
      <c r="R53" s="3">
        <v>28.86</v>
      </c>
      <c r="S53" s="3">
        <f t="shared" si="2"/>
        <v>1.4308392773384936E-2</v>
      </c>
    </row>
    <row r="54" spans="1:19" x14ac:dyDescent="0.45">
      <c r="A54" s="2">
        <v>45594</v>
      </c>
      <c r="B54" s="3">
        <v>233.67</v>
      </c>
      <c r="C54" s="3">
        <f t="shared" si="3"/>
        <v>1.1561437475111353E-3</v>
      </c>
      <c r="I54" s="2">
        <v>45594</v>
      </c>
      <c r="J54" s="3">
        <v>431.95</v>
      </c>
      <c r="K54" s="3">
        <f t="shared" si="1"/>
        <v>1.2486476205073024E-2</v>
      </c>
      <c r="Q54" s="2">
        <v>45594</v>
      </c>
      <c r="R54" s="3">
        <v>28.46</v>
      </c>
      <c r="S54" s="3">
        <f t="shared" si="2"/>
        <v>-1.3956960684018428E-2</v>
      </c>
    </row>
    <row r="55" spans="1:19" x14ac:dyDescent="0.45">
      <c r="A55" s="2">
        <v>45595</v>
      </c>
      <c r="B55" s="3">
        <v>230.1</v>
      </c>
      <c r="C55" s="3">
        <f t="shared" si="3"/>
        <v>-1.5395866558646653E-2</v>
      </c>
      <c r="I55" s="2">
        <v>45595</v>
      </c>
      <c r="J55" s="3">
        <v>432.53</v>
      </c>
      <c r="K55" s="3">
        <f t="shared" si="1"/>
        <v>1.3418473233082768E-3</v>
      </c>
      <c r="Q55" s="2">
        <v>45595</v>
      </c>
      <c r="R55" s="3">
        <v>28.52</v>
      </c>
      <c r="S55" s="3">
        <f t="shared" si="2"/>
        <v>2.1060028843887936E-3</v>
      </c>
    </row>
    <row r="56" spans="1:19" x14ac:dyDescent="0.45">
      <c r="A56" s="2">
        <v>45596</v>
      </c>
      <c r="B56" s="3">
        <v>225.91</v>
      </c>
      <c r="C56" s="3">
        <f t="shared" si="3"/>
        <v>-1.8377307172189244E-2</v>
      </c>
      <c r="I56" s="2">
        <v>45596</v>
      </c>
      <c r="J56" s="3">
        <v>406.35</v>
      </c>
      <c r="K56" s="3">
        <f t="shared" si="1"/>
        <v>-6.2436830928987566E-2</v>
      </c>
      <c r="Q56" s="2">
        <v>45596</v>
      </c>
      <c r="R56" s="3">
        <v>28.3</v>
      </c>
      <c r="S56" s="3">
        <f t="shared" si="2"/>
        <v>-7.7437908969031771E-3</v>
      </c>
    </row>
    <row r="57" spans="1:19" x14ac:dyDescent="0.45">
      <c r="A57" s="2">
        <v>45597</v>
      </c>
      <c r="B57" s="3">
        <v>222.91</v>
      </c>
      <c r="C57" s="3">
        <f t="shared" si="3"/>
        <v>-1.3368587316289905E-2</v>
      </c>
      <c r="I57" s="2">
        <v>45597</v>
      </c>
      <c r="J57" s="3">
        <v>410.37</v>
      </c>
      <c r="K57" s="3">
        <f t="shared" si="1"/>
        <v>9.8443345702487126E-3</v>
      </c>
      <c r="Q57" s="2">
        <v>45597</v>
      </c>
      <c r="R57" s="3">
        <v>28.09</v>
      </c>
      <c r="S57" s="3">
        <f t="shared" si="2"/>
        <v>-7.4481635330396713E-3</v>
      </c>
    </row>
    <row r="58" spans="1:19" x14ac:dyDescent="0.45">
      <c r="A58" s="2">
        <v>45600</v>
      </c>
      <c r="B58" s="3">
        <v>222.01</v>
      </c>
      <c r="C58" s="3">
        <f t="shared" si="3"/>
        <v>-4.0456766500141109E-3</v>
      </c>
      <c r="I58" s="2">
        <v>45600</v>
      </c>
      <c r="J58" s="3">
        <v>408.46</v>
      </c>
      <c r="K58" s="3">
        <f t="shared" si="1"/>
        <v>-4.6652014804508526E-3</v>
      </c>
      <c r="Q58" s="2">
        <v>45600</v>
      </c>
      <c r="R58" s="3">
        <v>27.76</v>
      </c>
      <c r="S58" s="3">
        <f t="shared" si="2"/>
        <v>-1.1817505477548451E-2</v>
      </c>
    </row>
    <row r="59" spans="1:19" x14ac:dyDescent="0.45">
      <c r="A59" s="2">
        <v>45601</v>
      </c>
      <c r="B59" s="3">
        <v>223.45</v>
      </c>
      <c r="C59" s="3">
        <f t="shared" si="3"/>
        <v>6.4652494766336294E-3</v>
      </c>
      <c r="I59" s="2">
        <v>45601</v>
      </c>
      <c r="J59" s="3">
        <v>411.46</v>
      </c>
      <c r="K59" s="3">
        <f t="shared" si="1"/>
        <v>7.3178197570728321E-3</v>
      </c>
      <c r="Q59" s="2">
        <v>45601</v>
      </c>
      <c r="R59" s="3">
        <v>27.99</v>
      </c>
      <c r="S59" s="3">
        <f t="shared" si="2"/>
        <v>8.2511678887582374E-3</v>
      </c>
    </row>
    <row r="60" spans="1:19" x14ac:dyDescent="0.45">
      <c r="A60" s="2">
        <v>45602</v>
      </c>
      <c r="B60" s="3">
        <v>222.72</v>
      </c>
      <c r="C60" s="3">
        <f t="shared" si="3"/>
        <v>-3.2722982334056835E-3</v>
      </c>
      <c r="I60" s="2">
        <v>45602</v>
      </c>
      <c r="J60" s="3">
        <v>420.18</v>
      </c>
      <c r="K60" s="3">
        <f t="shared" si="1"/>
        <v>2.0971380849396815E-2</v>
      </c>
      <c r="Q60" s="2">
        <v>45602</v>
      </c>
      <c r="R60" s="3">
        <v>27.36</v>
      </c>
      <c r="S60" s="3">
        <f t="shared" si="2"/>
        <v>-2.2765210773012433E-2</v>
      </c>
    </row>
    <row r="61" spans="1:19" x14ac:dyDescent="0.45">
      <c r="A61" s="2">
        <v>45603</v>
      </c>
      <c r="B61" s="3">
        <v>227.48</v>
      </c>
      <c r="C61" s="3">
        <f t="shared" si="3"/>
        <v>2.1146945292544149E-2</v>
      </c>
      <c r="I61" s="2">
        <v>45603</v>
      </c>
      <c r="J61" s="3">
        <v>425.43</v>
      </c>
      <c r="K61" s="3">
        <f t="shared" si="1"/>
        <v>1.2417231245883099E-2</v>
      </c>
      <c r="Q61" s="2">
        <v>45603</v>
      </c>
      <c r="R61" s="3">
        <v>27.46</v>
      </c>
      <c r="S61" s="3">
        <f t="shared" si="2"/>
        <v>3.6483075854753817E-3</v>
      </c>
    </row>
    <row r="62" spans="1:19" x14ac:dyDescent="0.45">
      <c r="A62" s="2">
        <v>45604</v>
      </c>
      <c r="B62" s="3">
        <v>226.96</v>
      </c>
      <c r="C62" s="3">
        <f t="shared" si="3"/>
        <v>-2.2885319380029265E-3</v>
      </c>
      <c r="I62" s="2">
        <v>45604</v>
      </c>
      <c r="J62" s="3">
        <v>422.54</v>
      </c>
      <c r="K62" s="3">
        <f t="shared" si="1"/>
        <v>-6.8163052692757501E-3</v>
      </c>
      <c r="Q62" s="2">
        <v>45604</v>
      </c>
      <c r="R62" s="3">
        <v>26.72</v>
      </c>
      <c r="S62" s="3">
        <f t="shared" si="2"/>
        <v>-2.7318051671380066E-2</v>
      </c>
    </row>
    <row r="63" spans="1:19" x14ac:dyDescent="0.45">
      <c r="A63" s="2">
        <v>45607</v>
      </c>
      <c r="B63" s="3">
        <v>224.23</v>
      </c>
      <c r="C63" s="3">
        <f t="shared" si="3"/>
        <v>-1.2101479715156712E-2</v>
      </c>
      <c r="I63" s="2">
        <v>45607</v>
      </c>
      <c r="J63" s="3">
        <v>418.01</v>
      </c>
      <c r="K63" s="3">
        <f t="shared" si="1"/>
        <v>-1.0778761188517328E-2</v>
      </c>
      <c r="Q63" s="2">
        <v>45607</v>
      </c>
      <c r="R63" s="3">
        <v>26.24</v>
      </c>
      <c r="S63" s="3">
        <f t="shared" si="2"/>
        <v>-1.8127384592556715E-2</v>
      </c>
    </row>
    <row r="64" spans="1:19" x14ac:dyDescent="0.45">
      <c r="A64" s="2">
        <v>45608</v>
      </c>
      <c r="B64" s="3">
        <v>224.23</v>
      </c>
      <c r="C64" s="3">
        <f t="shared" si="3"/>
        <v>0</v>
      </c>
      <c r="I64" s="2">
        <v>45608</v>
      </c>
      <c r="J64" s="3">
        <v>423.03</v>
      </c>
      <c r="K64" s="3">
        <f t="shared" si="1"/>
        <v>1.1937742833676979E-2</v>
      </c>
      <c r="Q64" s="2">
        <v>45608</v>
      </c>
      <c r="R64" s="3">
        <v>26.19</v>
      </c>
      <c r="S64" s="3">
        <f t="shared" si="2"/>
        <v>-1.9073055562676962E-3</v>
      </c>
    </row>
    <row r="65" spans="1:19" x14ac:dyDescent="0.45">
      <c r="A65" s="2">
        <v>45609</v>
      </c>
      <c r="B65" s="3">
        <v>225.12</v>
      </c>
      <c r="C65" s="3">
        <f t="shared" si="3"/>
        <v>3.9612825806397481E-3</v>
      </c>
      <c r="I65" s="2">
        <v>45609</v>
      </c>
      <c r="J65" s="3">
        <v>425.2</v>
      </c>
      <c r="K65" s="3">
        <f t="shared" si="1"/>
        <v>5.1165479505444512E-3</v>
      </c>
      <c r="Q65" s="2">
        <v>45609</v>
      </c>
      <c r="R65" s="3">
        <v>26.72</v>
      </c>
      <c r="S65" s="3">
        <f t="shared" si="2"/>
        <v>2.0034690148824304E-2</v>
      </c>
    </row>
    <row r="66" spans="1:19" x14ac:dyDescent="0.45">
      <c r="A66" s="2">
        <v>45610</v>
      </c>
      <c r="B66" s="3">
        <v>228.22</v>
      </c>
      <c r="C66" s="3">
        <f t="shared" si="3"/>
        <v>1.3676482640454679E-2</v>
      </c>
      <c r="I66" s="2">
        <v>45610</v>
      </c>
      <c r="J66" s="3">
        <v>426.89</v>
      </c>
      <c r="K66" s="3">
        <f t="shared" si="1"/>
        <v>3.9667223321382299E-3</v>
      </c>
      <c r="Q66" s="2">
        <v>45610</v>
      </c>
      <c r="R66" s="3">
        <v>26.02</v>
      </c>
      <c r="S66" s="3">
        <f t="shared" si="2"/>
        <v>-2.6546875584085701E-2</v>
      </c>
    </row>
    <row r="67" spans="1:19" x14ac:dyDescent="0.45">
      <c r="A67" s="2">
        <v>45611</v>
      </c>
      <c r="B67" s="3">
        <v>225</v>
      </c>
      <c r="C67" s="3">
        <f t="shared" si="3"/>
        <v>-1.4209673802113448E-2</v>
      </c>
      <c r="I67" s="2">
        <v>45611</v>
      </c>
      <c r="J67" s="3">
        <v>415</v>
      </c>
      <c r="K67" s="3">
        <f t="shared" si="1"/>
        <v>-2.8247848569232886E-2</v>
      </c>
      <c r="Q67" s="2">
        <v>45611</v>
      </c>
      <c r="R67" s="3">
        <v>24.8</v>
      </c>
      <c r="S67" s="3">
        <f t="shared" si="2"/>
        <v>-4.8021819913422664E-2</v>
      </c>
    </row>
    <row r="68" spans="1:19" x14ac:dyDescent="0.45">
      <c r="A68" s="2">
        <v>45614</v>
      </c>
      <c r="B68" s="3">
        <v>228.02</v>
      </c>
      <c r="C68" s="3">
        <f t="shared" si="3"/>
        <v>1.3332942201153587E-2</v>
      </c>
      <c r="I68" s="2">
        <v>45614</v>
      </c>
      <c r="J68" s="3">
        <v>415.76</v>
      </c>
      <c r="K68" s="3">
        <f t="shared" si="1"/>
        <v>1.8296504694880775E-3</v>
      </c>
      <c r="Q68" s="2">
        <v>45614</v>
      </c>
      <c r="R68" s="3">
        <v>24.86</v>
      </c>
      <c r="S68" s="3">
        <f t="shared" si="2"/>
        <v>2.4164329116285839E-3</v>
      </c>
    </row>
    <row r="69" spans="1:19" x14ac:dyDescent="0.45">
      <c r="A69" s="2">
        <v>45615</v>
      </c>
      <c r="B69" s="3">
        <v>228.28</v>
      </c>
      <c r="C69" s="3">
        <f t="shared" si="3"/>
        <v>1.1396012629335743E-3</v>
      </c>
      <c r="I69" s="2">
        <v>45615</v>
      </c>
      <c r="J69" s="3">
        <v>417.79</v>
      </c>
      <c r="K69" s="3">
        <f t="shared" si="1"/>
        <v>4.8707432387547949E-3</v>
      </c>
      <c r="Q69" s="2">
        <v>45615</v>
      </c>
      <c r="R69" s="3">
        <v>25.1</v>
      </c>
      <c r="S69" s="3">
        <f t="shared" si="2"/>
        <v>9.6077600551731628E-3</v>
      </c>
    </row>
    <row r="70" spans="1:19" x14ac:dyDescent="0.45">
      <c r="A70" s="2">
        <v>45616</v>
      </c>
      <c r="B70" s="3">
        <v>229</v>
      </c>
      <c r="C70" s="3">
        <f t="shared" si="3"/>
        <v>3.1490578857323766E-3</v>
      </c>
      <c r="I70" s="2">
        <v>45616</v>
      </c>
      <c r="J70" s="3">
        <v>415.49</v>
      </c>
      <c r="K70" s="3">
        <f t="shared" si="1"/>
        <v>-5.5203673217509306E-3</v>
      </c>
      <c r="Q70" s="2">
        <v>45616</v>
      </c>
      <c r="R70" s="3">
        <v>24.94</v>
      </c>
      <c r="S70" s="3">
        <f t="shared" si="2"/>
        <v>-6.3949058858477599E-3</v>
      </c>
    </row>
    <row r="71" spans="1:19" x14ac:dyDescent="0.45">
      <c r="A71" s="2">
        <v>45617</v>
      </c>
      <c r="B71" s="3">
        <v>228.52</v>
      </c>
      <c r="C71" s="3">
        <f t="shared" ref="C71:C130" si="4">LN(B71/B70)</f>
        <v>-2.0982696979778065E-3</v>
      </c>
      <c r="I71" s="2">
        <v>45617</v>
      </c>
      <c r="J71" s="3">
        <v>412.87</v>
      </c>
      <c r="K71" s="3">
        <f t="shared" ref="K71:K130" si="5">LN(J71/J70)</f>
        <v>-6.3257731824115397E-3</v>
      </c>
      <c r="Q71" s="2">
        <v>45617</v>
      </c>
      <c r="R71" s="3">
        <v>25.13</v>
      </c>
      <c r="S71" s="3">
        <f t="shared" ref="S71:S130" si="6">LN(R71/R70)</f>
        <v>7.589411303610287E-3</v>
      </c>
    </row>
    <row r="72" spans="1:19" x14ac:dyDescent="0.45">
      <c r="A72" s="2">
        <v>45618</v>
      </c>
      <c r="B72" s="3">
        <v>229.87</v>
      </c>
      <c r="C72" s="3">
        <f t="shared" si="4"/>
        <v>5.890197880063815E-3</v>
      </c>
      <c r="I72" s="2">
        <v>45618</v>
      </c>
      <c r="J72" s="3">
        <v>417</v>
      </c>
      <c r="K72" s="3">
        <f t="shared" si="5"/>
        <v>9.9534483640226559E-3</v>
      </c>
      <c r="Q72" s="2">
        <v>45618</v>
      </c>
      <c r="R72" s="3">
        <v>25.65</v>
      </c>
      <c r="S72" s="3">
        <f t="shared" si="6"/>
        <v>2.0481220061277672E-2</v>
      </c>
    </row>
    <row r="73" spans="1:19" x14ac:dyDescent="0.45">
      <c r="A73" s="2">
        <v>45621</v>
      </c>
      <c r="B73" s="3">
        <v>232.87</v>
      </c>
      <c r="C73" s="3">
        <f t="shared" si="4"/>
        <v>1.2966426208818584E-2</v>
      </c>
      <c r="I73" s="2">
        <v>45621</v>
      </c>
      <c r="J73" s="3">
        <v>418.79</v>
      </c>
      <c r="K73" s="3">
        <f t="shared" si="5"/>
        <v>4.2833791665618029E-3</v>
      </c>
      <c r="Q73" s="2">
        <v>45621</v>
      </c>
      <c r="R73" s="3">
        <v>26.17</v>
      </c>
      <c r="S73" s="3">
        <f t="shared" si="6"/>
        <v>2.0070144925276034E-2</v>
      </c>
    </row>
    <row r="74" spans="1:19" x14ac:dyDescent="0.45">
      <c r="A74" s="2">
        <v>45622</v>
      </c>
      <c r="B74" s="3">
        <v>235.06</v>
      </c>
      <c r="C74" s="3">
        <f t="shared" si="4"/>
        <v>9.3604427595636724E-3</v>
      </c>
      <c r="I74" s="2">
        <v>45622</v>
      </c>
      <c r="J74" s="3">
        <v>427.99</v>
      </c>
      <c r="K74" s="3">
        <f t="shared" si="5"/>
        <v>2.1730229857498513E-2</v>
      </c>
      <c r="Q74" s="2">
        <v>45622</v>
      </c>
      <c r="R74" s="3">
        <v>25.77</v>
      </c>
      <c r="S74" s="3">
        <f t="shared" si="6"/>
        <v>-1.5402691877780846E-2</v>
      </c>
    </row>
    <row r="75" spans="1:19" x14ac:dyDescent="0.45">
      <c r="A75" s="2">
        <v>45623</v>
      </c>
      <c r="B75" s="3">
        <v>234.93</v>
      </c>
      <c r="C75" s="3">
        <f t="shared" si="4"/>
        <v>-5.5320327375206512E-4</v>
      </c>
      <c r="I75" s="2">
        <v>45623</v>
      </c>
      <c r="J75" s="3">
        <v>422.99</v>
      </c>
      <c r="K75" s="3">
        <f t="shared" si="5"/>
        <v>-1.1751292717967056E-2</v>
      </c>
      <c r="Q75" s="2">
        <v>45623</v>
      </c>
      <c r="R75" s="3">
        <v>25.83</v>
      </c>
      <c r="S75" s="3">
        <f t="shared" si="6"/>
        <v>2.3255824434754366E-3</v>
      </c>
    </row>
    <row r="76" spans="1:19" x14ac:dyDescent="0.45">
      <c r="A76" s="2">
        <v>45625</v>
      </c>
      <c r="B76" s="3">
        <v>237.33</v>
      </c>
      <c r="C76" s="3">
        <f t="shared" si="4"/>
        <v>1.0163980270458799E-2</v>
      </c>
      <c r="I76" s="2">
        <v>45625</v>
      </c>
      <c r="J76" s="3">
        <v>423.46</v>
      </c>
      <c r="K76" s="3">
        <f t="shared" si="5"/>
        <v>1.1105205228955624E-3</v>
      </c>
      <c r="Q76" s="2">
        <v>45625</v>
      </c>
      <c r="R76" s="3">
        <v>26.21</v>
      </c>
      <c r="S76" s="3">
        <f t="shared" si="6"/>
        <v>1.4604410227566022E-2</v>
      </c>
    </row>
    <row r="77" spans="1:19" x14ac:dyDescent="0.45">
      <c r="A77" s="2">
        <v>45628</v>
      </c>
      <c r="B77" s="3">
        <v>239.59</v>
      </c>
      <c r="C77" s="3">
        <f t="shared" si="4"/>
        <v>9.477551441854002E-3</v>
      </c>
      <c r="I77" s="2">
        <v>45628</v>
      </c>
      <c r="J77" s="3">
        <v>430.98</v>
      </c>
      <c r="K77" s="3">
        <f t="shared" si="5"/>
        <v>1.760262668697498E-2</v>
      </c>
      <c r="Q77" s="2">
        <v>45628</v>
      </c>
      <c r="R77" s="3">
        <v>25.82</v>
      </c>
      <c r="S77" s="3">
        <f t="shared" si="6"/>
        <v>-1.4991631916818559E-2</v>
      </c>
    </row>
    <row r="78" spans="1:19" x14ac:dyDescent="0.45">
      <c r="A78" s="2">
        <v>45629</v>
      </c>
      <c r="B78" s="3">
        <v>242.65</v>
      </c>
      <c r="C78" s="3">
        <f t="shared" si="4"/>
        <v>1.269094670795666E-2</v>
      </c>
      <c r="I78" s="2">
        <v>45629</v>
      </c>
      <c r="J78" s="3">
        <v>431.2</v>
      </c>
      <c r="K78" s="3">
        <f t="shared" si="5"/>
        <v>5.103342800221258E-4</v>
      </c>
      <c r="Q78" s="2">
        <v>45629</v>
      </c>
      <c r="R78" s="3">
        <v>25.56</v>
      </c>
      <c r="S78" s="3">
        <f t="shared" si="6"/>
        <v>-1.0120755909162438E-2</v>
      </c>
    </row>
    <row r="79" spans="1:19" x14ac:dyDescent="0.45">
      <c r="A79" s="2">
        <v>45630</v>
      </c>
      <c r="B79" s="3">
        <v>243.01</v>
      </c>
      <c r="C79" s="3">
        <f t="shared" si="4"/>
        <v>1.4825189059665656E-3</v>
      </c>
      <c r="I79" s="2">
        <v>45630</v>
      </c>
      <c r="J79" s="3">
        <v>437.42</v>
      </c>
      <c r="K79" s="3">
        <f t="shared" si="5"/>
        <v>1.432181233961893E-2</v>
      </c>
      <c r="Q79" s="2">
        <v>45630</v>
      </c>
      <c r="R79" s="3">
        <v>25.23</v>
      </c>
      <c r="S79" s="3">
        <f t="shared" si="6"/>
        <v>-1.2994866856367585E-2</v>
      </c>
    </row>
    <row r="80" spans="1:19" x14ac:dyDescent="0.45">
      <c r="A80" s="2">
        <v>45631</v>
      </c>
      <c r="B80" s="3">
        <v>243.04</v>
      </c>
      <c r="C80" s="3">
        <f t="shared" si="4"/>
        <v>1.2344409027086238E-4</v>
      </c>
      <c r="I80" s="2">
        <v>45631</v>
      </c>
      <c r="J80" s="3">
        <v>442.62</v>
      </c>
      <c r="K80" s="3">
        <f t="shared" si="5"/>
        <v>1.1817782189859459E-2</v>
      </c>
      <c r="Q80" s="2">
        <v>45631</v>
      </c>
      <c r="R80" s="3">
        <v>25.7</v>
      </c>
      <c r="S80" s="3">
        <f t="shared" si="6"/>
        <v>1.8457229248207637E-2</v>
      </c>
    </row>
    <row r="81" spans="1:19" x14ac:dyDescent="0.45">
      <c r="A81" s="2">
        <v>45632</v>
      </c>
      <c r="B81" s="3">
        <v>242.84</v>
      </c>
      <c r="C81" s="3">
        <f t="shared" si="4"/>
        <v>-8.2324858522934052E-4</v>
      </c>
      <c r="I81" s="2">
        <v>45632</v>
      </c>
      <c r="J81" s="3">
        <v>443.57</v>
      </c>
      <c r="K81" s="3">
        <f t="shared" si="5"/>
        <v>2.1440105708975103E-3</v>
      </c>
      <c r="Q81" s="2">
        <v>45632</v>
      </c>
      <c r="R81" s="3">
        <v>25.73</v>
      </c>
      <c r="S81" s="3">
        <f t="shared" si="6"/>
        <v>1.166634392478683E-3</v>
      </c>
    </row>
    <row r="82" spans="1:19" x14ac:dyDescent="0.45">
      <c r="A82" s="2">
        <v>45635</v>
      </c>
      <c r="B82" s="3">
        <v>246.75</v>
      </c>
      <c r="C82" s="3">
        <f t="shared" si="4"/>
        <v>1.5972888051357558E-2</v>
      </c>
      <c r="I82" s="2">
        <v>45635</v>
      </c>
      <c r="J82" s="3">
        <v>446.02</v>
      </c>
      <c r="K82" s="3">
        <f t="shared" si="5"/>
        <v>5.5081693688085664E-3</v>
      </c>
      <c r="Q82" s="2">
        <v>45635</v>
      </c>
      <c r="R82" s="3">
        <v>26.1</v>
      </c>
      <c r="S82" s="3">
        <f t="shared" si="6"/>
        <v>1.4277688034994917E-2</v>
      </c>
    </row>
    <row r="83" spans="1:19" x14ac:dyDescent="0.45">
      <c r="A83" s="2">
        <v>45636</v>
      </c>
      <c r="B83" s="3">
        <v>247.77</v>
      </c>
      <c r="C83" s="3">
        <f t="shared" si="4"/>
        <v>4.1252181771443009E-3</v>
      </c>
      <c r="I83" s="2">
        <v>45636</v>
      </c>
      <c r="J83" s="3">
        <v>443.33</v>
      </c>
      <c r="K83" s="3">
        <f t="shared" si="5"/>
        <v>-6.0493803415409345E-3</v>
      </c>
      <c r="Q83" s="2">
        <v>45636</v>
      </c>
      <c r="R83" s="3">
        <v>25.57</v>
      </c>
      <c r="S83" s="3">
        <f t="shared" si="6"/>
        <v>-2.051552502555249E-2</v>
      </c>
    </row>
    <row r="84" spans="1:19" x14ac:dyDescent="0.45">
      <c r="A84" s="2">
        <v>45637</v>
      </c>
      <c r="B84" s="3">
        <v>246.49</v>
      </c>
      <c r="C84" s="3">
        <f t="shared" si="4"/>
        <v>-5.1794717822105452E-3</v>
      </c>
      <c r="I84" s="2">
        <v>45637</v>
      </c>
      <c r="J84" s="3">
        <v>448.99</v>
      </c>
      <c r="K84" s="3">
        <f t="shared" si="5"/>
        <v>1.2686202056882959E-2</v>
      </c>
      <c r="Q84" s="2">
        <v>45637</v>
      </c>
      <c r="R84" s="3">
        <v>25.23</v>
      </c>
      <c r="S84" s="3">
        <f t="shared" si="6"/>
        <v>-1.3386026650128903E-2</v>
      </c>
    </row>
    <row r="85" spans="1:19" x14ac:dyDescent="0.45">
      <c r="A85" s="2">
        <v>45638</v>
      </c>
      <c r="B85" s="3">
        <v>247.96</v>
      </c>
      <c r="C85" s="3">
        <f t="shared" si="4"/>
        <v>5.9460181251939897E-3</v>
      </c>
      <c r="I85" s="2">
        <v>45638</v>
      </c>
      <c r="J85" s="3">
        <v>449.56</v>
      </c>
      <c r="K85" s="3">
        <f t="shared" si="5"/>
        <v>1.2687108707523317E-3</v>
      </c>
      <c r="Q85" s="2">
        <v>45638</v>
      </c>
      <c r="R85" s="3">
        <v>25.37</v>
      </c>
      <c r="S85" s="3">
        <f t="shared" si="6"/>
        <v>5.5336109582242434E-3</v>
      </c>
    </row>
    <row r="86" spans="1:19" x14ac:dyDescent="0.45">
      <c r="A86" s="2">
        <v>45639</v>
      </c>
      <c r="B86" s="3">
        <v>248.13</v>
      </c>
      <c r="C86" s="3">
        <f t="shared" si="4"/>
        <v>6.8535953820605803E-4</v>
      </c>
      <c r="I86" s="2">
        <v>45639</v>
      </c>
      <c r="J86" s="3">
        <v>447.27</v>
      </c>
      <c r="K86" s="3">
        <f t="shared" si="5"/>
        <v>-5.106887541648961E-3</v>
      </c>
      <c r="Q86" s="2">
        <v>45639</v>
      </c>
      <c r="R86" s="3">
        <v>25.58</v>
      </c>
      <c r="S86" s="3">
        <f t="shared" si="6"/>
        <v>8.243422539506072E-3</v>
      </c>
    </row>
    <row r="87" spans="1:19" x14ac:dyDescent="0.45">
      <c r="A87" s="2">
        <v>45642</v>
      </c>
      <c r="B87" s="3">
        <v>251.04</v>
      </c>
      <c r="C87" s="3">
        <f t="shared" si="4"/>
        <v>1.1659486612797755E-2</v>
      </c>
      <c r="I87" s="2">
        <v>45642</v>
      </c>
      <c r="J87" s="3">
        <v>451.59</v>
      </c>
      <c r="K87" s="3">
        <f t="shared" si="5"/>
        <v>9.6122494321048465E-3</v>
      </c>
      <c r="Q87" s="2">
        <v>45642</v>
      </c>
      <c r="R87" s="3">
        <v>25.25</v>
      </c>
      <c r="S87" s="3">
        <f t="shared" si="6"/>
        <v>-1.2984640429327732E-2</v>
      </c>
    </row>
    <row r="88" spans="1:19" x14ac:dyDescent="0.45">
      <c r="A88" s="2">
        <v>45643</v>
      </c>
      <c r="B88" s="3">
        <v>253.48</v>
      </c>
      <c r="C88" s="3">
        <f t="shared" si="4"/>
        <v>9.6726354705936723E-3</v>
      </c>
      <c r="I88" s="2">
        <v>45643</v>
      </c>
      <c r="J88" s="3">
        <v>454.46</v>
      </c>
      <c r="K88" s="3">
        <f t="shared" si="5"/>
        <v>6.3352124031293821E-3</v>
      </c>
      <c r="Q88" s="2">
        <v>45643</v>
      </c>
      <c r="R88" s="3">
        <v>26.43</v>
      </c>
      <c r="S88" s="3">
        <f t="shared" si="6"/>
        <v>4.567357289482904E-2</v>
      </c>
    </row>
    <row r="89" spans="1:19" x14ac:dyDescent="0.45">
      <c r="A89" s="2">
        <v>45644</v>
      </c>
      <c r="B89" s="3">
        <v>248.05</v>
      </c>
      <c r="C89" s="3">
        <f t="shared" si="4"/>
        <v>-2.1654585708258262E-2</v>
      </c>
      <c r="I89" s="2">
        <v>45644</v>
      </c>
      <c r="J89" s="3">
        <v>437.39</v>
      </c>
      <c r="K89" s="3">
        <f t="shared" si="5"/>
        <v>-3.8284655330873545E-2</v>
      </c>
      <c r="Q89" s="2">
        <v>45644</v>
      </c>
      <c r="R89" s="3">
        <v>25.89</v>
      </c>
      <c r="S89" s="3">
        <f t="shared" si="6"/>
        <v>-2.0642934852751506E-2</v>
      </c>
    </row>
    <row r="90" spans="1:19" x14ac:dyDescent="0.45">
      <c r="A90" s="2">
        <v>45645</v>
      </c>
      <c r="B90" s="3">
        <v>249.79</v>
      </c>
      <c r="C90" s="3">
        <f t="shared" si="4"/>
        <v>6.9902261174959015E-3</v>
      </c>
      <c r="I90" s="2">
        <v>45645</v>
      </c>
      <c r="J90" s="3">
        <v>437.03</v>
      </c>
      <c r="K90" s="3">
        <f t="shared" si="5"/>
        <v>-8.2340298790001861E-4</v>
      </c>
      <c r="Q90" s="2">
        <v>45645</v>
      </c>
      <c r="R90" s="3">
        <v>25.77</v>
      </c>
      <c r="S90" s="3">
        <f t="shared" si="6"/>
        <v>-4.6457690991725687E-3</v>
      </c>
    </row>
    <row r="91" spans="1:19" x14ac:dyDescent="0.45">
      <c r="A91" s="2">
        <v>45646</v>
      </c>
      <c r="B91" s="3">
        <v>254.49</v>
      </c>
      <c r="C91" s="3">
        <f t="shared" si="4"/>
        <v>1.8640977623199214E-2</v>
      </c>
      <c r="I91" s="2">
        <v>45646</v>
      </c>
      <c r="J91" s="3">
        <v>436.6</v>
      </c>
      <c r="K91" s="3">
        <f t="shared" si="5"/>
        <v>-9.8439850903452616E-4</v>
      </c>
      <c r="Q91" s="2">
        <v>45646</v>
      </c>
      <c r="R91" s="3">
        <v>26.36</v>
      </c>
      <c r="S91" s="3">
        <f t="shared" si="6"/>
        <v>2.2636684970032704E-2</v>
      </c>
    </row>
    <row r="92" spans="1:19" x14ac:dyDescent="0.45">
      <c r="A92" s="2">
        <v>45649</v>
      </c>
      <c r="B92" s="3">
        <v>255.27</v>
      </c>
      <c r="C92" s="3">
        <f t="shared" si="4"/>
        <v>3.0602660418225774E-3</v>
      </c>
      <c r="I92" s="2">
        <v>45649</v>
      </c>
      <c r="J92" s="3">
        <v>435.25</v>
      </c>
      <c r="K92" s="3">
        <f t="shared" si="5"/>
        <v>-3.0968654675452034E-3</v>
      </c>
      <c r="Q92" s="2">
        <v>45649</v>
      </c>
      <c r="R92" s="3">
        <v>26.71</v>
      </c>
      <c r="S92" s="3">
        <f t="shared" si="6"/>
        <v>1.3190317487563072E-2</v>
      </c>
    </row>
    <row r="93" spans="1:19" x14ac:dyDescent="0.45">
      <c r="A93" s="2">
        <v>45650</v>
      </c>
      <c r="B93" s="3">
        <v>258.2</v>
      </c>
      <c r="C93" s="3">
        <f t="shared" si="4"/>
        <v>1.1412669882966294E-2</v>
      </c>
      <c r="I93" s="2">
        <v>45650</v>
      </c>
      <c r="J93" s="3">
        <v>439.33</v>
      </c>
      <c r="K93" s="3">
        <f t="shared" si="5"/>
        <v>9.3302604638468636E-3</v>
      </c>
      <c r="Q93" s="2">
        <v>45650</v>
      </c>
      <c r="R93" s="3">
        <v>26.74</v>
      </c>
      <c r="S93" s="3">
        <f t="shared" si="6"/>
        <v>1.1225445519275885E-3</v>
      </c>
    </row>
    <row r="94" spans="1:19" x14ac:dyDescent="0.45">
      <c r="A94" s="2">
        <v>45652</v>
      </c>
      <c r="B94" s="3">
        <v>259.02</v>
      </c>
      <c r="C94" s="3">
        <f t="shared" si="4"/>
        <v>3.1708003828989626E-3</v>
      </c>
      <c r="I94" s="2">
        <v>45652</v>
      </c>
      <c r="J94" s="3">
        <v>438.11</v>
      </c>
      <c r="K94" s="3">
        <f t="shared" si="5"/>
        <v>-2.780818713948305E-3</v>
      </c>
      <c r="Q94" s="2">
        <v>45652</v>
      </c>
      <c r="R94" s="3">
        <v>26.56</v>
      </c>
      <c r="S94" s="3">
        <f t="shared" si="6"/>
        <v>-6.7542470655640322E-3</v>
      </c>
    </row>
    <row r="95" spans="1:19" x14ac:dyDescent="0.45">
      <c r="A95" s="2">
        <v>45653</v>
      </c>
      <c r="B95" s="3">
        <v>255.59</v>
      </c>
      <c r="C95" s="3">
        <f t="shared" si="4"/>
        <v>-1.3330680688083499E-2</v>
      </c>
      <c r="I95" s="2">
        <v>45653</v>
      </c>
      <c r="J95" s="3">
        <v>430.53</v>
      </c>
      <c r="K95" s="3">
        <f t="shared" si="5"/>
        <v>-1.7453012547246734E-2</v>
      </c>
      <c r="Q95" s="2">
        <v>45653</v>
      </c>
      <c r="R95" s="3">
        <v>26.62</v>
      </c>
      <c r="S95" s="3">
        <f t="shared" si="6"/>
        <v>2.2564883587326097E-3</v>
      </c>
    </row>
    <row r="96" spans="1:19" x14ac:dyDescent="0.45">
      <c r="A96" s="2">
        <v>45656</v>
      </c>
      <c r="B96" s="3">
        <v>252.2</v>
      </c>
      <c r="C96" s="3">
        <f t="shared" si="4"/>
        <v>-1.3352174576538492E-2</v>
      </c>
      <c r="I96" s="2">
        <v>45656</v>
      </c>
      <c r="J96" s="3">
        <v>424.83</v>
      </c>
      <c r="K96" s="3">
        <f t="shared" si="5"/>
        <v>-1.3327918947873099E-2</v>
      </c>
      <c r="Q96" s="2">
        <v>45656</v>
      </c>
      <c r="R96" s="3">
        <v>26.42</v>
      </c>
      <c r="S96" s="3">
        <f t="shared" si="6"/>
        <v>-7.5415138727862371E-3</v>
      </c>
    </row>
    <row r="97" spans="1:19" x14ac:dyDescent="0.45">
      <c r="A97" s="2">
        <v>45657</v>
      </c>
      <c r="B97" s="3">
        <v>250.42</v>
      </c>
      <c r="C97" s="3">
        <f t="shared" si="4"/>
        <v>-7.0829152900175382E-3</v>
      </c>
      <c r="I97" s="2">
        <v>45657</v>
      </c>
      <c r="J97" s="3">
        <v>421.5</v>
      </c>
      <c r="K97" s="3">
        <f t="shared" si="5"/>
        <v>-7.8693114611669106E-3</v>
      </c>
      <c r="Q97" s="2">
        <v>45657</v>
      </c>
      <c r="R97" s="3">
        <v>26.53</v>
      </c>
      <c r="S97" s="3">
        <f t="shared" si="6"/>
        <v>4.1548690554690333E-3</v>
      </c>
    </row>
    <row r="98" spans="1:19" x14ac:dyDescent="0.45">
      <c r="A98" s="2">
        <v>45659</v>
      </c>
      <c r="B98" s="3">
        <v>243.85</v>
      </c>
      <c r="C98" s="3">
        <f t="shared" si="4"/>
        <v>-2.6586226084739983E-2</v>
      </c>
      <c r="I98" s="2">
        <v>45659</v>
      </c>
      <c r="J98" s="3">
        <v>418.58</v>
      </c>
      <c r="K98" s="3">
        <f t="shared" si="5"/>
        <v>-6.9517468800784493E-3</v>
      </c>
      <c r="Q98" s="2">
        <v>45659</v>
      </c>
      <c r="R98" s="3">
        <v>26.61</v>
      </c>
      <c r="S98" s="3">
        <f t="shared" si="6"/>
        <v>3.0109168399493815E-3</v>
      </c>
    </row>
    <row r="99" spans="1:19" x14ac:dyDescent="0.45">
      <c r="A99" s="2">
        <v>45660</v>
      </c>
      <c r="B99" s="3">
        <v>243.36</v>
      </c>
      <c r="C99" s="3">
        <f t="shared" si="4"/>
        <v>-2.0114536450788353E-3</v>
      </c>
      <c r="I99" s="2">
        <v>45660</v>
      </c>
      <c r="J99" s="3">
        <v>423.35</v>
      </c>
      <c r="K99" s="3">
        <f t="shared" si="5"/>
        <v>1.1331229526454522E-2</v>
      </c>
      <c r="Q99" s="2">
        <v>45660</v>
      </c>
      <c r="R99" s="3">
        <v>26.59</v>
      </c>
      <c r="S99" s="3">
        <f t="shared" si="6"/>
        <v>-7.5187973466932039E-4</v>
      </c>
    </row>
    <row r="100" spans="1:19" x14ac:dyDescent="0.45">
      <c r="A100" s="2">
        <v>45663</v>
      </c>
      <c r="B100" s="3">
        <v>245</v>
      </c>
      <c r="C100" s="3">
        <f t="shared" si="4"/>
        <v>6.7163820337442027E-3</v>
      </c>
      <c r="I100" s="2">
        <v>45663</v>
      </c>
      <c r="J100" s="3">
        <v>427.85</v>
      </c>
      <c r="K100" s="3">
        <f t="shared" si="5"/>
        <v>1.057340677577758E-2</v>
      </c>
      <c r="Q100" s="2">
        <v>45663</v>
      </c>
      <c r="R100" s="3">
        <v>26.89</v>
      </c>
      <c r="S100" s="3">
        <f t="shared" si="6"/>
        <v>1.1219265025844785E-2</v>
      </c>
    </row>
    <row r="101" spans="1:19" x14ac:dyDescent="0.45">
      <c r="A101" s="2">
        <v>45664</v>
      </c>
      <c r="B101" s="3">
        <v>242.21</v>
      </c>
      <c r="C101" s="3">
        <f t="shared" si="4"/>
        <v>-1.1453092086491822E-2</v>
      </c>
      <c r="I101" s="2">
        <v>45664</v>
      </c>
      <c r="J101" s="3">
        <v>422.37</v>
      </c>
      <c r="K101" s="3">
        <f t="shared" si="5"/>
        <v>-1.2890959721518212E-2</v>
      </c>
      <c r="Q101" s="2">
        <v>45664</v>
      </c>
      <c r="R101" s="3">
        <v>27.13</v>
      </c>
      <c r="S101" s="3">
        <f t="shared" si="6"/>
        <v>8.8856563900669948E-3</v>
      </c>
    </row>
    <row r="102" spans="1:19" x14ac:dyDescent="0.45">
      <c r="A102" s="2">
        <v>45665</v>
      </c>
      <c r="B102" s="3">
        <v>242.7</v>
      </c>
      <c r="C102" s="3">
        <f t="shared" si="4"/>
        <v>2.0209942743203797E-3</v>
      </c>
      <c r="I102" s="2">
        <v>45665</v>
      </c>
      <c r="J102" s="3">
        <v>424.56</v>
      </c>
      <c r="K102" s="3">
        <f t="shared" si="5"/>
        <v>5.1716313770938417E-3</v>
      </c>
      <c r="Q102" s="2">
        <v>45665</v>
      </c>
      <c r="R102" s="3">
        <v>26.86</v>
      </c>
      <c r="S102" s="3">
        <f t="shared" si="6"/>
        <v>-1.0001935575748811E-2</v>
      </c>
    </row>
    <row r="103" spans="1:19" x14ac:dyDescent="0.45">
      <c r="A103" s="2">
        <v>45667</v>
      </c>
      <c r="B103" s="3">
        <v>236.85</v>
      </c>
      <c r="C103" s="3">
        <f t="shared" si="4"/>
        <v>-2.4399083362794845E-2</v>
      </c>
      <c r="I103" s="2">
        <v>45667</v>
      </c>
      <c r="J103" s="3">
        <v>418.95</v>
      </c>
      <c r="K103" s="3">
        <f t="shared" si="5"/>
        <v>-1.3301757460344052E-2</v>
      </c>
      <c r="Q103" s="2">
        <v>45667</v>
      </c>
      <c r="R103" s="3">
        <v>26.72</v>
      </c>
      <c r="S103" s="3">
        <f t="shared" si="6"/>
        <v>-5.2258424266465467E-3</v>
      </c>
    </row>
    <row r="104" spans="1:19" x14ac:dyDescent="0.45">
      <c r="A104" s="2">
        <v>45670</v>
      </c>
      <c r="B104" s="3">
        <v>234.4</v>
      </c>
      <c r="C104" s="3">
        <f t="shared" si="4"/>
        <v>-1.0397971666903203E-2</v>
      </c>
      <c r="I104" s="2">
        <v>45670</v>
      </c>
      <c r="J104" s="3">
        <v>417.19</v>
      </c>
      <c r="K104" s="3">
        <f t="shared" si="5"/>
        <v>-4.209827539218081E-3</v>
      </c>
      <c r="Q104" s="2">
        <v>45670</v>
      </c>
      <c r="R104" s="3">
        <v>26.8</v>
      </c>
      <c r="S104" s="3">
        <f t="shared" si="6"/>
        <v>2.9895388483659859E-3</v>
      </c>
    </row>
    <row r="105" spans="1:19" x14ac:dyDescent="0.45">
      <c r="A105" s="2">
        <v>45671</v>
      </c>
      <c r="B105" s="3">
        <v>233.28</v>
      </c>
      <c r="C105" s="3">
        <f t="shared" si="4"/>
        <v>-4.7896088825642048E-3</v>
      </c>
      <c r="I105" s="2">
        <v>45671</v>
      </c>
      <c r="J105" s="3">
        <v>415.67</v>
      </c>
      <c r="K105" s="3">
        <f t="shared" si="5"/>
        <v>-3.6500772941136213E-3</v>
      </c>
      <c r="Q105" s="2">
        <v>45671</v>
      </c>
      <c r="R105" s="3">
        <v>26.41</v>
      </c>
      <c r="S105" s="3">
        <f t="shared" si="6"/>
        <v>-1.4659161207770114E-2</v>
      </c>
    </row>
    <row r="106" spans="1:19" x14ac:dyDescent="0.45">
      <c r="A106" s="2">
        <v>45672</v>
      </c>
      <c r="B106" s="3">
        <v>237.87</v>
      </c>
      <c r="C106" s="3">
        <f t="shared" si="4"/>
        <v>1.9484857132124001E-2</v>
      </c>
      <c r="I106" s="2">
        <v>45672</v>
      </c>
      <c r="J106" s="3">
        <v>426.31</v>
      </c>
      <c r="K106" s="3">
        <f t="shared" si="5"/>
        <v>2.5275104928999953E-2</v>
      </c>
      <c r="Q106" s="2">
        <v>45672</v>
      </c>
      <c r="R106" s="3">
        <v>26.22</v>
      </c>
      <c r="S106" s="3">
        <f t="shared" si="6"/>
        <v>-7.220247973487132E-3</v>
      </c>
    </row>
    <row r="107" spans="1:19" x14ac:dyDescent="0.45">
      <c r="A107" s="2">
        <v>45673</v>
      </c>
      <c r="B107" s="3">
        <v>228.26</v>
      </c>
      <c r="C107" s="3">
        <f t="shared" si="4"/>
        <v>-4.1238975826963314E-2</v>
      </c>
      <c r="I107" s="2">
        <v>45673</v>
      </c>
      <c r="J107" s="3">
        <v>424.58</v>
      </c>
      <c r="K107" s="3">
        <f t="shared" si="5"/>
        <v>-4.066336151107945E-3</v>
      </c>
      <c r="Q107" s="2">
        <v>45673</v>
      </c>
      <c r="R107" s="3">
        <v>26.49</v>
      </c>
      <c r="S107" s="3">
        <f t="shared" si="6"/>
        <v>1.0244824948424575E-2</v>
      </c>
    </row>
    <row r="108" spans="1:19" x14ac:dyDescent="0.45">
      <c r="A108" s="2">
        <v>45674</v>
      </c>
      <c r="B108" s="3">
        <v>229.98</v>
      </c>
      <c r="C108" s="3">
        <f t="shared" si="4"/>
        <v>7.5070184950648353E-3</v>
      </c>
      <c r="I108" s="2">
        <v>45674</v>
      </c>
      <c r="J108" s="3">
        <v>429.03</v>
      </c>
      <c r="K108" s="3">
        <f t="shared" si="5"/>
        <v>1.0426401549097972E-2</v>
      </c>
      <c r="Q108" s="2">
        <v>45674</v>
      </c>
      <c r="R108" s="3">
        <v>26.3</v>
      </c>
      <c r="S108" s="3">
        <f t="shared" si="6"/>
        <v>-7.1983641002593378E-3</v>
      </c>
    </row>
    <row r="109" spans="1:19" x14ac:dyDescent="0.45">
      <c r="A109" s="2">
        <v>45678</v>
      </c>
      <c r="B109" s="3">
        <v>222.64</v>
      </c>
      <c r="C109" s="3">
        <f t="shared" si="4"/>
        <v>-3.2436231402883438E-2</v>
      </c>
      <c r="I109" s="2">
        <v>45678</v>
      </c>
      <c r="J109" s="3">
        <v>428.5</v>
      </c>
      <c r="K109" s="3">
        <f t="shared" si="5"/>
        <v>-1.236108515119177E-3</v>
      </c>
      <c r="Q109" s="2">
        <v>45678</v>
      </c>
      <c r="R109" s="3">
        <v>26.64</v>
      </c>
      <c r="S109" s="3">
        <f t="shared" si="6"/>
        <v>1.2844906488469608E-2</v>
      </c>
    </row>
    <row r="110" spans="1:19" x14ac:dyDescent="0.45">
      <c r="A110" s="2">
        <v>45679</v>
      </c>
      <c r="B110" s="3">
        <v>223.83</v>
      </c>
      <c r="C110" s="3">
        <f t="shared" si="4"/>
        <v>5.3307179338975266E-3</v>
      </c>
      <c r="I110" s="2">
        <v>45679</v>
      </c>
      <c r="J110" s="3">
        <v>446.2</v>
      </c>
      <c r="K110" s="3">
        <f t="shared" si="5"/>
        <v>4.0476543960597577E-2</v>
      </c>
      <c r="Q110" s="2">
        <v>45679</v>
      </c>
      <c r="R110" s="3">
        <v>26.01</v>
      </c>
      <c r="S110" s="3">
        <f t="shared" si="6"/>
        <v>-2.3932766211628136E-2</v>
      </c>
    </row>
    <row r="111" spans="1:19" x14ac:dyDescent="0.45">
      <c r="A111" s="2">
        <v>45680</v>
      </c>
      <c r="B111" s="3">
        <v>223.66</v>
      </c>
      <c r="C111" s="3">
        <f t="shared" si="4"/>
        <v>-7.5979355149053557E-4</v>
      </c>
      <c r="I111" s="2">
        <v>45680</v>
      </c>
      <c r="J111" s="3">
        <v>446.71</v>
      </c>
      <c r="K111" s="3">
        <f t="shared" si="5"/>
        <v>1.142332498144708E-3</v>
      </c>
      <c r="Q111" s="2">
        <v>45680</v>
      </c>
      <c r="R111" s="3">
        <v>26.44</v>
      </c>
      <c r="S111" s="3">
        <f t="shared" si="6"/>
        <v>1.6396935522925368E-2</v>
      </c>
    </row>
    <row r="112" spans="1:19" x14ac:dyDescent="0.45">
      <c r="A112" s="2">
        <v>45681</v>
      </c>
      <c r="B112" s="3">
        <v>222.78</v>
      </c>
      <c r="C112" s="3">
        <f t="shared" si="4"/>
        <v>-3.9423041829985839E-3</v>
      </c>
      <c r="I112" s="2">
        <v>45681</v>
      </c>
      <c r="J112" s="3">
        <v>444.06</v>
      </c>
      <c r="K112" s="3">
        <f t="shared" si="5"/>
        <v>-5.9499260591469177E-3</v>
      </c>
      <c r="Q112" s="2">
        <v>45681</v>
      </c>
      <c r="R112" s="3">
        <v>26.09</v>
      </c>
      <c r="S112" s="3">
        <f t="shared" si="6"/>
        <v>-1.3325915834848491E-2</v>
      </c>
    </row>
    <row r="113" spans="1:19" x14ac:dyDescent="0.45">
      <c r="A113" s="2">
        <v>45684</v>
      </c>
      <c r="B113" s="3">
        <v>229.86</v>
      </c>
      <c r="C113" s="3">
        <f t="shared" si="4"/>
        <v>3.1285690523568978E-2</v>
      </c>
      <c r="I113" s="2">
        <v>45684</v>
      </c>
      <c r="J113" s="3">
        <v>434.56</v>
      </c>
      <c r="K113" s="3">
        <f t="shared" si="5"/>
        <v>-2.1625663507153406E-2</v>
      </c>
      <c r="Q113" s="2">
        <v>45684</v>
      </c>
      <c r="R113" s="3">
        <v>26.86</v>
      </c>
      <c r="S113" s="3">
        <f t="shared" si="6"/>
        <v>2.9086091946454395E-2</v>
      </c>
    </row>
    <row r="114" spans="1:19" x14ac:dyDescent="0.45">
      <c r="A114" s="2">
        <v>45685</v>
      </c>
      <c r="B114" s="3">
        <v>238.26</v>
      </c>
      <c r="C114" s="3">
        <f t="shared" si="4"/>
        <v>3.5892086430602384E-2</v>
      </c>
      <c r="I114" s="2">
        <v>45685</v>
      </c>
      <c r="J114" s="3">
        <v>447.2</v>
      </c>
      <c r="K114" s="3">
        <f t="shared" si="5"/>
        <v>2.8671896910612688E-2</v>
      </c>
      <c r="Q114" s="2">
        <v>45685</v>
      </c>
      <c r="R114" s="3">
        <v>26.75</v>
      </c>
      <c r="S114" s="3">
        <f t="shared" si="6"/>
        <v>-4.1037177530759443E-3</v>
      </c>
    </row>
    <row r="115" spans="1:19" x14ac:dyDescent="0.45">
      <c r="A115" s="2">
        <v>45686</v>
      </c>
      <c r="B115" s="3">
        <v>239.36</v>
      </c>
      <c r="C115" s="3">
        <f t="shared" si="4"/>
        <v>4.6061804148975023E-3</v>
      </c>
      <c r="I115" s="2">
        <v>45686</v>
      </c>
      <c r="J115" s="3">
        <v>442.33</v>
      </c>
      <c r="K115" s="3">
        <f t="shared" si="5"/>
        <v>-1.0949712000212162E-2</v>
      </c>
      <c r="Q115" s="2">
        <v>45686</v>
      </c>
      <c r="R115" s="3">
        <v>26.62</v>
      </c>
      <c r="S115" s="3">
        <f t="shared" si="6"/>
        <v>-4.8716603750499276E-3</v>
      </c>
    </row>
    <row r="116" spans="1:19" x14ac:dyDescent="0.45">
      <c r="A116" s="2">
        <v>45687</v>
      </c>
      <c r="B116" s="3">
        <v>237.59</v>
      </c>
      <c r="C116" s="3">
        <f t="shared" si="4"/>
        <v>-7.4221957254156003E-3</v>
      </c>
      <c r="I116" s="2">
        <v>45687</v>
      </c>
      <c r="J116" s="3">
        <v>414.99</v>
      </c>
      <c r="K116" s="3">
        <f t="shared" si="5"/>
        <v>-6.3801786285843556E-2</v>
      </c>
      <c r="Q116" s="2">
        <v>45687</v>
      </c>
      <c r="R116" s="3">
        <v>26.91</v>
      </c>
      <c r="S116" s="3">
        <f t="shared" si="6"/>
        <v>1.0835151771848843E-2</v>
      </c>
    </row>
    <row r="117" spans="1:19" x14ac:dyDescent="0.45">
      <c r="A117" s="2">
        <v>45688</v>
      </c>
      <c r="B117" s="3">
        <v>236</v>
      </c>
      <c r="C117" s="3">
        <f t="shared" si="4"/>
        <v>-6.714694035086833E-3</v>
      </c>
      <c r="I117" s="2">
        <v>45688</v>
      </c>
      <c r="J117" s="3">
        <v>415.06</v>
      </c>
      <c r="K117" s="3">
        <f t="shared" si="5"/>
        <v>1.6866453868067421E-4</v>
      </c>
      <c r="Q117" s="2">
        <v>45688</v>
      </c>
      <c r="R117" s="3">
        <v>26.52</v>
      </c>
      <c r="S117" s="3">
        <f t="shared" si="6"/>
        <v>-1.4598799421152749E-2</v>
      </c>
    </row>
    <row r="118" spans="1:19" x14ac:dyDescent="0.45">
      <c r="A118" s="2">
        <v>45691</v>
      </c>
      <c r="B118" s="3">
        <v>228.01</v>
      </c>
      <c r="C118" s="3">
        <f t="shared" si="4"/>
        <v>-3.4442317383852845E-2</v>
      </c>
      <c r="I118" s="2">
        <v>45691</v>
      </c>
      <c r="J118" s="3">
        <v>410.92</v>
      </c>
      <c r="K118" s="3">
        <f t="shared" si="5"/>
        <v>-1.0024539745451297E-2</v>
      </c>
      <c r="Q118" s="2">
        <v>45691</v>
      </c>
      <c r="R118" s="3">
        <v>26.2</v>
      </c>
      <c r="S118" s="3">
        <f t="shared" si="6"/>
        <v>-1.2139754550610546E-2</v>
      </c>
    </row>
    <row r="119" spans="1:19" x14ac:dyDescent="0.45">
      <c r="A119" s="2">
        <v>45692</v>
      </c>
      <c r="B119" s="3">
        <v>232.8</v>
      </c>
      <c r="C119" s="3">
        <f t="shared" si="4"/>
        <v>2.0790228215525564E-2</v>
      </c>
      <c r="I119" s="2">
        <v>45692</v>
      </c>
      <c r="J119" s="3">
        <v>412.37</v>
      </c>
      <c r="K119" s="3">
        <f t="shared" si="5"/>
        <v>3.5224562408462663E-3</v>
      </c>
      <c r="Q119" s="2">
        <v>45692</v>
      </c>
      <c r="R119" s="3">
        <v>25.87</v>
      </c>
      <c r="S119" s="3">
        <f t="shared" si="6"/>
        <v>-1.267541456911331E-2</v>
      </c>
    </row>
    <row r="120" spans="1:19" x14ac:dyDescent="0.45">
      <c r="A120" s="2">
        <v>45693</v>
      </c>
      <c r="B120" s="3">
        <v>232.47</v>
      </c>
      <c r="C120" s="3">
        <f t="shared" si="4"/>
        <v>-1.4185314133143574E-3</v>
      </c>
      <c r="I120" s="2">
        <v>45693</v>
      </c>
      <c r="J120" s="3">
        <v>413.29</v>
      </c>
      <c r="K120" s="3">
        <f t="shared" si="5"/>
        <v>2.2285211364244705E-3</v>
      </c>
      <c r="Q120" s="2">
        <v>45693</v>
      </c>
      <c r="R120" s="3">
        <v>26.44</v>
      </c>
      <c r="S120" s="3">
        <f t="shared" si="6"/>
        <v>2.1794018785547858E-2</v>
      </c>
    </row>
    <row r="121" spans="1:19" x14ac:dyDescent="0.45">
      <c r="A121" s="2">
        <v>45694</v>
      </c>
      <c r="B121" s="3">
        <v>233.22</v>
      </c>
      <c r="C121" s="3">
        <f t="shared" si="4"/>
        <v>3.2210296482183117E-3</v>
      </c>
      <c r="I121" s="2">
        <v>45694</v>
      </c>
      <c r="J121" s="3">
        <v>415.82</v>
      </c>
      <c r="K121" s="3">
        <f t="shared" si="5"/>
        <v>6.1029485899084931E-3</v>
      </c>
      <c r="Q121" s="2">
        <v>45694</v>
      </c>
      <c r="R121" s="3">
        <v>25.83</v>
      </c>
      <c r="S121" s="3">
        <f t="shared" si="6"/>
        <v>-2.334140787573653E-2</v>
      </c>
    </row>
    <row r="122" spans="1:19" x14ac:dyDescent="0.45">
      <c r="A122" s="2">
        <v>45695</v>
      </c>
      <c r="B122" s="3">
        <v>227.63</v>
      </c>
      <c r="C122" s="3">
        <f t="shared" si="4"/>
        <v>-2.4260710332889599E-2</v>
      </c>
      <c r="I122" s="2">
        <v>45695</v>
      </c>
      <c r="J122" s="3">
        <v>409.75</v>
      </c>
      <c r="K122" s="3">
        <f t="shared" si="5"/>
        <v>-1.4705256691303348E-2</v>
      </c>
      <c r="Q122" s="2">
        <v>45695</v>
      </c>
      <c r="R122" s="3">
        <v>25.74</v>
      </c>
      <c r="S122" s="3">
        <f t="shared" si="6"/>
        <v>-3.4904049397684908E-3</v>
      </c>
    </row>
    <row r="123" spans="1:19" x14ac:dyDescent="0.45">
      <c r="A123" s="2">
        <v>45698</v>
      </c>
      <c r="B123" s="3">
        <v>227.65</v>
      </c>
      <c r="C123" s="3">
        <f t="shared" si="4"/>
        <v>8.7858021493861051E-5</v>
      </c>
      <c r="I123" s="2">
        <v>45698</v>
      </c>
      <c r="J123" s="3">
        <v>412.22</v>
      </c>
      <c r="K123" s="3">
        <f t="shared" si="5"/>
        <v>6.0099697912124102E-3</v>
      </c>
      <c r="Q123" s="2">
        <v>45698</v>
      </c>
      <c r="R123" s="3">
        <v>25.87</v>
      </c>
      <c r="S123" s="3">
        <f t="shared" si="6"/>
        <v>5.0377940299573022E-3</v>
      </c>
    </row>
    <row r="124" spans="1:19" x14ac:dyDescent="0.45">
      <c r="A124" s="2">
        <v>45699</v>
      </c>
      <c r="B124" s="3">
        <v>232.62</v>
      </c>
      <c r="C124" s="3">
        <f t="shared" si="4"/>
        <v>2.1596859130101596E-2</v>
      </c>
      <c r="I124" s="2">
        <v>45699</v>
      </c>
      <c r="J124" s="3">
        <v>411.44</v>
      </c>
      <c r="K124" s="3">
        <f t="shared" si="5"/>
        <v>-1.8939859484906557E-3</v>
      </c>
      <c r="Q124" s="2">
        <v>45699</v>
      </c>
      <c r="R124" s="3">
        <v>25.53</v>
      </c>
      <c r="S124" s="3">
        <f t="shared" si="6"/>
        <v>-1.3229764944545259E-2</v>
      </c>
    </row>
    <row r="125" spans="1:19" x14ac:dyDescent="0.45">
      <c r="A125" s="2">
        <v>45700</v>
      </c>
      <c r="B125" s="3">
        <v>236.87</v>
      </c>
      <c r="C125" s="3">
        <f t="shared" si="4"/>
        <v>1.810524652359782E-2</v>
      </c>
      <c r="I125" s="2">
        <v>45700</v>
      </c>
      <c r="J125" s="3">
        <v>409.04</v>
      </c>
      <c r="K125" s="3">
        <f t="shared" si="5"/>
        <v>-5.8502506949169517E-3</v>
      </c>
      <c r="Q125" s="2">
        <v>45700</v>
      </c>
      <c r="R125" s="3">
        <v>25.47</v>
      </c>
      <c r="S125" s="3">
        <f t="shared" si="6"/>
        <v>-2.3529422620269498E-3</v>
      </c>
    </row>
    <row r="126" spans="1:19" x14ac:dyDescent="0.45">
      <c r="A126" s="2">
        <v>45701</v>
      </c>
      <c r="B126" s="3">
        <v>241.53</v>
      </c>
      <c r="C126" s="3">
        <f t="shared" si="4"/>
        <v>1.9482221545508639E-2</v>
      </c>
      <c r="I126" s="2">
        <v>45701</v>
      </c>
      <c r="J126" s="3">
        <v>410.54</v>
      </c>
      <c r="K126" s="3">
        <f t="shared" si="5"/>
        <v>3.6604155172889801E-3</v>
      </c>
      <c r="Q126" s="2">
        <v>45701</v>
      </c>
      <c r="R126" s="3">
        <v>25.64</v>
      </c>
      <c r="S126" s="3">
        <f t="shared" si="6"/>
        <v>6.652343061103772E-3</v>
      </c>
    </row>
    <row r="127" spans="1:19" x14ac:dyDescent="0.45">
      <c r="A127" s="2">
        <v>45702</v>
      </c>
      <c r="B127" s="3">
        <v>244.6</v>
      </c>
      <c r="C127" s="3">
        <f t="shared" si="4"/>
        <v>1.2630534273072785E-2</v>
      </c>
      <c r="I127" s="2">
        <v>45702</v>
      </c>
      <c r="J127" s="3">
        <v>408.43</v>
      </c>
      <c r="K127" s="3">
        <f t="shared" si="5"/>
        <v>-5.15282530167358E-3</v>
      </c>
      <c r="Q127" s="2">
        <v>45702</v>
      </c>
      <c r="R127" s="3">
        <v>25.53</v>
      </c>
      <c r="S127" s="3">
        <f t="shared" si="6"/>
        <v>-4.2994007990768482E-3</v>
      </c>
    </row>
    <row r="128" spans="1:19" x14ac:dyDescent="0.45">
      <c r="A128" s="2">
        <v>45706</v>
      </c>
      <c r="B128" s="3">
        <v>244.47</v>
      </c>
      <c r="C128" s="3">
        <f t="shared" si="4"/>
        <v>-5.3162125283384893E-4</v>
      </c>
      <c r="I128" s="2">
        <v>45706</v>
      </c>
      <c r="J128" s="3">
        <v>409.64</v>
      </c>
      <c r="K128" s="3">
        <f t="shared" si="5"/>
        <v>2.9581842198776473E-3</v>
      </c>
      <c r="Q128" s="2">
        <v>45706</v>
      </c>
      <c r="R128" s="3">
        <v>25.56</v>
      </c>
      <c r="S128" s="3">
        <f t="shared" si="6"/>
        <v>1.1743982559414398E-3</v>
      </c>
    </row>
    <row r="129" spans="1:19" x14ac:dyDescent="0.45">
      <c r="A129" s="2">
        <v>45707</v>
      </c>
      <c r="B129" s="3">
        <v>244.87</v>
      </c>
      <c r="C129" s="3">
        <f t="shared" si="4"/>
        <v>1.6348554750960618E-3</v>
      </c>
      <c r="I129" s="2">
        <v>45707</v>
      </c>
      <c r="J129" s="3">
        <v>414.77</v>
      </c>
      <c r="K129" s="3">
        <f t="shared" si="5"/>
        <v>1.24454245210562E-2</v>
      </c>
      <c r="Q129" s="2">
        <v>45707</v>
      </c>
      <c r="R129" s="3">
        <v>25.89</v>
      </c>
      <c r="S129" s="3">
        <f t="shared" si="6"/>
        <v>1.2828164254112234E-2</v>
      </c>
    </row>
    <row r="130" spans="1:19" x14ac:dyDescent="0.45">
      <c r="A130" s="2">
        <v>45708</v>
      </c>
      <c r="B130" s="3">
        <v>245.83</v>
      </c>
      <c r="C130" s="3">
        <f t="shared" si="4"/>
        <v>3.9127826565687213E-3</v>
      </c>
      <c r="I130" s="2">
        <v>45708</v>
      </c>
      <c r="J130" s="3">
        <v>416.13</v>
      </c>
      <c r="K130" s="3">
        <f t="shared" si="5"/>
        <v>3.2735617150155796E-3</v>
      </c>
      <c r="Q130" s="2">
        <v>45708</v>
      </c>
      <c r="R130" s="3">
        <v>25.9</v>
      </c>
      <c r="S130" s="3">
        <f t="shared" si="6"/>
        <v>3.8617494204571301E-4</v>
      </c>
    </row>
  </sheetData>
  <sortState xmlns:xlrd2="http://schemas.microsoft.com/office/spreadsheetml/2017/richdata2" ref="Q5:R130">
    <sortCondition ref="Q5:Q130"/>
  </sortState>
  <mergeCells count="6">
    <mergeCell ref="A1:AE1"/>
    <mergeCell ref="A3:C3"/>
    <mergeCell ref="I3:K3"/>
    <mergeCell ref="Q3:S3"/>
    <mergeCell ref="E12:F12"/>
    <mergeCell ref="M12:N1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CAD60-AFBC-47C7-9267-624DBA5C1793}">
  <sheetPr codeName="Sheet3"/>
  <dimension ref="A1:D6"/>
  <sheetViews>
    <sheetView workbookViewId="0">
      <selection activeCell="B12" sqref="B12"/>
    </sheetView>
  </sheetViews>
  <sheetFormatPr defaultRowHeight="14.25" x14ac:dyDescent="0.45"/>
  <cols>
    <col min="1" max="1" width="14.59765625" customWidth="1"/>
    <col min="2" max="2" width="12.1328125" customWidth="1"/>
    <col min="3" max="3" width="15" customWidth="1"/>
    <col min="4" max="4" width="13" customWidth="1"/>
  </cols>
  <sheetData>
    <row r="1" spans="1:4" x14ac:dyDescent="0.45">
      <c r="A1" s="57" t="s">
        <v>51</v>
      </c>
      <c r="B1" s="57"/>
    </row>
    <row r="2" spans="1:4" ht="14.65" thickBot="1" x14ac:dyDescent="0.5"/>
    <row r="3" spans="1:4" ht="14.65" thickBot="1" x14ac:dyDescent="0.5">
      <c r="A3" s="58" t="s">
        <v>8</v>
      </c>
      <c r="B3" s="59" t="s">
        <v>9</v>
      </c>
      <c r="C3" s="59" t="s">
        <v>11</v>
      </c>
      <c r="D3" s="59" t="s">
        <v>10</v>
      </c>
    </row>
    <row r="4" spans="1:4" ht="14.65" thickBot="1" x14ac:dyDescent="0.5">
      <c r="A4" s="60" t="s">
        <v>9</v>
      </c>
      <c r="B4" s="61">
        <v>1.8840299999999999E-4</v>
      </c>
      <c r="C4" s="62">
        <v>8.4938000000000006E-5</v>
      </c>
      <c r="D4" s="62">
        <v>2.1466899999999999E-5</v>
      </c>
    </row>
    <row r="5" spans="1:4" ht="14.65" thickBot="1" x14ac:dyDescent="0.5">
      <c r="A5" s="60" t="s">
        <v>11</v>
      </c>
      <c r="B5" s="62">
        <v>8.4938000000000006E-5</v>
      </c>
      <c r="C5" s="61">
        <v>1.95112E-4</v>
      </c>
      <c r="D5" s="62">
        <v>6.6322200000000003E-6</v>
      </c>
    </row>
    <row r="6" spans="1:4" ht="14.65" thickBot="1" x14ac:dyDescent="0.5">
      <c r="A6" s="60" t="s">
        <v>10</v>
      </c>
      <c r="B6" s="62">
        <v>2.1466899999999999E-5</v>
      </c>
      <c r="C6" s="62">
        <v>6.6322200000000003E-6</v>
      </c>
      <c r="D6" s="61">
        <v>1.95224E-4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A8F57-D2C9-4D8B-95C2-CA3A00305F7E}">
  <sheetPr codeName="Sheet4"/>
  <dimension ref="A2:H26"/>
  <sheetViews>
    <sheetView workbookViewId="0">
      <selection activeCell="A2" sqref="A2:D5"/>
    </sheetView>
  </sheetViews>
  <sheetFormatPr defaultRowHeight="14.25" x14ac:dyDescent="0.45"/>
  <cols>
    <col min="1" max="1" width="17.3984375" bestFit="1" customWidth="1"/>
    <col min="2" max="2" width="10.46484375" customWidth="1"/>
    <col min="3" max="3" width="10.53125" customWidth="1"/>
    <col min="4" max="4" width="16.6640625" bestFit="1" customWidth="1"/>
    <col min="5" max="5" width="12.3984375" bestFit="1" customWidth="1"/>
    <col min="6" max="6" width="16.1328125" customWidth="1"/>
    <col min="7" max="7" width="16.6640625" bestFit="1" customWidth="1"/>
    <col min="8" max="8" width="12.3984375" bestFit="1" customWidth="1"/>
  </cols>
  <sheetData>
    <row r="2" spans="1:8" x14ac:dyDescent="0.45">
      <c r="A2" s="54" t="str">
        <f>coursework!X10</f>
        <v>Covariance</v>
      </c>
      <c r="B2" s="54" t="str">
        <f>coursework!Y10</f>
        <v>APPLE</v>
      </c>
      <c r="C2" s="54" t="str">
        <f>coursework!Z10</f>
        <v>MSFT</v>
      </c>
      <c r="D2" s="54" t="str">
        <f>coursework!AA10</f>
        <v>PFE</v>
      </c>
    </row>
    <row r="3" spans="1:8" x14ac:dyDescent="0.45">
      <c r="A3" s="54" t="str">
        <f>coursework!X11</f>
        <v>APPLE</v>
      </c>
      <c r="B3" s="55">
        <f>coursework!Y11</f>
        <v>1.8840260811904826E-4</v>
      </c>
      <c r="C3" s="55">
        <f>coursework!Z11</f>
        <v>8.4937999713208175E-5</v>
      </c>
      <c r="D3" s="55">
        <f>coursework!AA11</f>
        <v>2.1466871942116461E-5</v>
      </c>
      <c r="F3" s="56" t="s">
        <v>36</v>
      </c>
    </row>
    <row r="4" spans="1:8" x14ac:dyDescent="0.45">
      <c r="A4" s="54" t="str">
        <f>coursework!X12</f>
        <v>MSFT</v>
      </c>
      <c r="B4" s="55">
        <f>coursework!Y12</f>
        <v>8.4937999713208175E-5</v>
      </c>
      <c r="C4" s="55">
        <f>coursework!Z12</f>
        <v>1.9511207788246304E-4</v>
      </c>
      <c r="D4" s="55">
        <f>coursework!AA12</f>
        <v>6.6322170144959199E-6</v>
      </c>
      <c r="F4">
        <v>8.7693242955976303E-5</v>
      </c>
    </row>
    <row r="5" spans="1:8" x14ac:dyDescent="0.45">
      <c r="A5" s="54" t="str">
        <f>coursework!X13</f>
        <v>PFE</v>
      </c>
      <c r="B5" s="55">
        <f>coursework!Y13</f>
        <v>2.1466871942116461E-5</v>
      </c>
      <c r="C5" s="55">
        <f>coursework!Z13</f>
        <v>6.6322170144959199E-6</v>
      </c>
      <c r="D5" s="55">
        <f>coursework!AA13</f>
        <v>1.952243555586199E-4</v>
      </c>
    </row>
    <row r="6" spans="1:8" x14ac:dyDescent="0.45">
      <c r="F6" s="56" t="s">
        <v>37</v>
      </c>
      <c r="G6">
        <v>-2.2838524623880731E-4</v>
      </c>
      <c r="H6">
        <v>-5.7553082052179447E-2</v>
      </c>
    </row>
    <row r="7" spans="1:8" x14ac:dyDescent="0.45">
      <c r="F7" s="56" t="s">
        <v>38</v>
      </c>
      <c r="G7">
        <v>9.3644670406796936E-3</v>
      </c>
      <c r="H7">
        <v>0.14865630570179669</v>
      </c>
    </row>
    <row r="9" spans="1:8" x14ac:dyDescent="0.45">
      <c r="A9" s="26" t="s">
        <v>35</v>
      </c>
      <c r="B9" s="26" t="s">
        <v>34</v>
      </c>
      <c r="C9" s="26" t="s">
        <v>33</v>
      </c>
      <c r="D9" s="26" t="s">
        <v>32</v>
      </c>
    </row>
    <row r="10" spans="1:8" x14ac:dyDescent="0.45">
      <c r="A10" s="27">
        <v>0.27694326456074453</v>
      </c>
      <c r="B10" s="27">
        <v>0.31501931006597639</v>
      </c>
      <c r="C10" s="27">
        <v>0.40803743380941426</v>
      </c>
      <c r="D10" s="27">
        <f>A10+B10+C10</f>
        <v>1.0000000084361353</v>
      </c>
    </row>
    <row r="11" spans="1:8" ht="14.65" thickBot="1" x14ac:dyDescent="0.5"/>
    <row r="12" spans="1:8" x14ac:dyDescent="0.45">
      <c r="A12" s="40" t="s">
        <v>29</v>
      </c>
      <c r="B12" s="41"/>
      <c r="D12" s="42" t="s">
        <v>30</v>
      </c>
      <c r="E12" s="43"/>
      <c r="G12" s="45" t="s">
        <v>31</v>
      </c>
      <c r="H12" s="46"/>
    </row>
    <row r="13" spans="1:8" x14ac:dyDescent="0.45">
      <c r="A13" s="47"/>
      <c r="B13" s="48"/>
      <c r="D13" s="47"/>
      <c r="E13" s="48"/>
      <c r="G13" s="47"/>
      <c r="H13" s="48"/>
    </row>
    <row r="14" spans="1:8" x14ac:dyDescent="0.45">
      <c r="A14" s="49" t="s">
        <v>16</v>
      </c>
      <c r="B14" s="48">
        <v>233.07555555555555</v>
      </c>
      <c r="D14" s="50" t="s">
        <v>16</v>
      </c>
      <c r="E14" s="48">
        <v>423.94595238095212</v>
      </c>
      <c r="G14" s="50" t="s">
        <v>16</v>
      </c>
      <c r="H14" s="48">
        <v>27.362063492063484</v>
      </c>
    </row>
    <row r="15" spans="1:8" x14ac:dyDescent="0.45">
      <c r="A15" s="49" t="s">
        <v>17</v>
      </c>
      <c r="B15" s="48">
        <v>0.86700056246154888</v>
      </c>
      <c r="D15" s="50" t="s">
        <v>17</v>
      </c>
      <c r="E15" s="48">
        <v>1.0379449364761417</v>
      </c>
      <c r="G15" s="50" t="s">
        <v>17</v>
      </c>
      <c r="H15" s="48">
        <v>0.13701008269978115</v>
      </c>
    </row>
    <row r="16" spans="1:8" x14ac:dyDescent="0.45">
      <c r="A16" s="49" t="s">
        <v>18</v>
      </c>
      <c r="B16" s="48">
        <v>229.92500000000001</v>
      </c>
      <c r="D16" s="50" t="s">
        <v>18</v>
      </c>
      <c r="E16" s="48">
        <v>422.76499999999999</v>
      </c>
      <c r="G16" s="50" t="s">
        <v>18</v>
      </c>
      <c r="H16" s="48">
        <v>26.774999999999999</v>
      </c>
    </row>
    <row r="17" spans="1:8" x14ac:dyDescent="0.45">
      <c r="A17" s="49" t="s">
        <v>19</v>
      </c>
      <c r="B17" s="48">
        <v>229</v>
      </c>
      <c r="D17" s="50" t="s">
        <v>19</v>
      </c>
      <c r="E17" s="48" t="e">
        <v>#N/A</v>
      </c>
      <c r="G17" s="50" t="s">
        <v>19</v>
      </c>
      <c r="H17" s="48">
        <v>26.72</v>
      </c>
    </row>
    <row r="18" spans="1:8" x14ac:dyDescent="0.45">
      <c r="A18" s="49" t="s">
        <v>20</v>
      </c>
      <c r="B18" s="48">
        <v>9.7320571766142496</v>
      </c>
      <c r="D18" s="50" t="s">
        <v>20</v>
      </c>
      <c r="E18" s="48">
        <v>11.650903015891696</v>
      </c>
      <c r="G18" s="50" t="s">
        <v>20</v>
      </c>
      <c r="H18" s="48">
        <v>1.5379343639884342</v>
      </c>
    </row>
    <row r="19" spans="1:8" x14ac:dyDescent="0.45">
      <c r="A19" s="49" t="s">
        <v>21</v>
      </c>
      <c r="B19" s="48">
        <v>94.712936888888905</v>
      </c>
      <c r="D19" s="50" t="s">
        <v>21</v>
      </c>
      <c r="E19" s="48">
        <v>135.74354108571421</v>
      </c>
      <c r="G19" s="50" t="s">
        <v>21</v>
      </c>
      <c r="H19" s="48">
        <v>2.3652421079365094</v>
      </c>
    </row>
    <row r="20" spans="1:8" x14ac:dyDescent="0.45">
      <c r="A20" s="49" t="s">
        <v>22</v>
      </c>
      <c r="B20" s="48">
        <v>-0.18236178518883195</v>
      </c>
      <c r="D20" s="50" t="s">
        <v>22</v>
      </c>
      <c r="E20" s="48">
        <v>-0.3596415587620152</v>
      </c>
      <c r="G20" s="50" t="s">
        <v>22</v>
      </c>
      <c r="H20" s="48">
        <v>-1.4751273293245817</v>
      </c>
    </row>
    <row r="21" spans="1:8" x14ac:dyDescent="0.45">
      <c r="A21" s="49" t="s">
        <v>23</v>
      </c>
      <c r="B21" s="48">
        <v>0.78508947852087796</v>
      </c>
      <c r="D21" s="50" t="s">
        <v>23</v>
      </c>
      <c r="E21" s="48">
        <v>0.60627000409084575</v>
      </c>
      <c r="G21" s="50" t="s">
        <v>23</v>
      </c>
      <c r="H21" s="48">
        <v>0.14685133592749328</v>
      </c>
    </row>
    <row r="22" spans="1:8" x14ac:dyDescent="0.45">
      <c r="A22" s="49" t="s">
        <v>24</v>
      </c>
      <c r="B22" s="48">
        <v>42.699999999999989</v>
      </c>
      <c r="D22" s="50" t="s">
        <v>24</v>
      </c>
      <c r="E22" s="48">
        <v>52.759999999999991</v>
      </c>
      <c r="G22" s="50" t="s">
        <v>24</v>
      </c>
      <c r="H22" s="48">
        <v>5.3900000000000006</v>
      </c>
    </row>
    <row r="23" spans="1:8" x14ac:dyDescent="0.45">
      <c r="A23" s="49" t="s">
        <v>25</v>
      </c>
      <c r="B23" s="48">
        <v>216.32</v>
      </c>
      <c r="D23" s="50" t="s">
        <v>25</v>
      </c>
      <c r="E23" s="48">
        <v>401.7</v>
      </c>
      <c r="G23" s="50" t="s">
        <v>25</v>
      </c>
      <c r="H23" s="48">
        <v>24.8</v>
      </c>
    </row>
    <row r="24" spans="1:8" x14ac:dyDescent="0.45">
      <c r="A24" s="49" t="s">
        <v>26</v>
      </c>
      <c r="B24" s="48">
        <v>259.02</v>
      </c>
      <c r="D24" s="50" t="s">
        <v>26</v>
      </c>
      <c r="E24" s="48">
        <v>454.46</v>
      </c>
      <c r="G24" s="50" t="s">
        <v>26</v>
      </c>
      <c r="H24" s="48">
        <v>30.19</v>
      </c>
    </row>
    <row r="25" spans="1:8" x14ac:dyDescent="0.45">
      <c r="A25" s="49" t="s">
        <v>27</v>
      </c>
      <c r="B25" s="48">
        <v>29367.52</v>
      </c>
      <c r="D25" s="50" t="s">
        <v>27</v>
      </c>
      <c r="E25" s="48">
        <v>53417.189999999966</v>
      </c>
      <c r="G25" s="50" t="s">
        <v>27</v>
      </c>
      <c r="H25" s="48">
        <v>3447.619999999999</v>
      </c>
    </row>
    <row r="26" spans="1:8" ht="14.65" thickBot="1" x14ac:dyDescent="0.5">
      <c r="A26" s="51" t="s">
        <v>28</v>
      </c>
      <c r="B26" s="52">
        <v>126</v>
      </c>
      <c r="D26" s="53" t="s">
        <v>28</v>
      </c>
      <c r="E26" s="52">
        <v>126</v>
      </c>
      <c r="G26" s="53" t="s">
        <v>28</v>
      </c>
      <c r="H26" s="52">
        <v>126</v>
      </c>
    </row>
  </sheetData>
  <mergeCells count="2">
    <mergeCell ref="A12:B12"/>
    <mergeCell ref="D12:E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6990F-8DB9-4386-A518-1018E5948C6E}">
  <dimension ref="A1:H13"/>
  <sheetViews>
    <sheetView workbookViewId="0">
      <selection activeCell="E6" sqref="E6"/>
    </sheetView>
  </sheetViews>
  <sheetFormatPr defaultRowHeight="14.25" x14ac:dyDescent="0.45"/>
  <cols>
    <col min="1" max="1" width="17.46484375" bestFit="1" customWidth="1"/>
    <col min="2" max="2" width="14.6640625" customWidth="1"/>
    <col min="4" max="4" width="10.265625" customWidth="1"/>
  </cols>
  <sheetData>
    <row r="1" spans="1:8" x14ac:dyDescent="0.45">
      <c r="A1" s="64" t="s">
        <v>52</v>
      </c>
      <c r="B1" s="63">
        <v>0.16501191000000001</v>
      </c>
      <c r="D1" s="70" t="s">
        <v>64</v>
      </c>
      <c r="E1" s="70"/>
      <c r="F1" s="70"/>
      <c r="G1" s="70"/>
      <c r="H1">
        <f>B12*B1+B13*B2</f>
        <v>-2.8689169430182591E-2</v>
      </c>
    </row>
    <row r="2" spans="1:8" x14ac:dyDescent="0.45">
      <c r="A2" s="64" t="s">
        <v>53</v>
      </c>
      <c r="B2" s="63">
        <v>-4.1571449000000003E-2</v>
      </c>
    </row>
    <row r="3" spans="1:8" x14ac:dyDescent="0.45">
      <c r="A3" s="64" t="s">
        <v>54</v>
      </c>
      <c r="B3" s="63">
        <v>4.2799999999999998E-2</v>
      </c>
      <c r="D3" s="70" t="s">
        <v>65</v>
      </c>
      <c r="E3" s="70"/>
      <c r="F3" s="70"/>
      <c r="G3">
        <f>SQRT((B12^2*B4^2)+(B13^2*B5^2)+(2*B12*B13*B6))</f>
        <v>0.20837910756717393</v>
      </c>
    </row>
    <row r="4" spans="1:8" x14ac:dyDescent="0.45">
      <c r="A4" s="64" t="s">
        <v>55</v>
      </c>
      <c r="B4" s="63">
        <v>0.217893224</v>
      </c>
    </row>
    <row r="5" spans="1:8" x14ac:dyDescent="0.45">
      <c r="A5" s="64" t="s">
        <v>56</v>
      </c>
      <c r="B5" s="63">
        <v>0.22173913000000001</v>
      </c>
      <c r="D5" s="67" t="s">
        <v>66</v>
      </c>
      <c r="E5">
        <f>(H1-B3)/G3</f>
        <v>-0.3430726346072725</v>
      </c>
    </row>
    <row r="6" spans="1:8" x14ac:dyDescent="0.45">
      <c r="A6" s="64" t="s">
        <v>57</v>
      </c>
      <c r="B6" s="63">
        <v>8.4939999999999997E-5</v>
      </c>
    </row>
    <row r="8" spans="1:8" x14ac:dyDescent="0.45">
      <c r="A8" s="65" t="s">
        <v>58</v>
      </c>
      <c r="B8" s="68" t="s">
        <v>59</v>
      </c>
    </row>
    <row r="9" spans="1:8" x14ac:dyDescent="0.45">
      <c r="A9" s="66" t="s">
        <v>60</v>
      </c>
      <c r="B9" s="69" t="s">
        <v>61</v>
      </c>
    </row>
    <row r="10" spans="1:8" x14ac:dyDescent="0.45">
      <c r="A10">
        <f>(B5^2 * (B1-B3))-(B6*(B2-B3))</f>
        <v>6.0161112493173517E-3</v>
      </c>
      <c r="B10">
        <f>(B5^2 + B4^2 - 2*B6)</f>
        <v>9.6475818838271069E-2</v>
      </c>
    </row>
    <row r="12" spans="1:8" x14ac:dyDescent="0.45">
      <c r="A12" s="68" t="s">
        <v>62</v>
      </c>
      <c r="B12">
        <f>A10/B10</f>
        <v>6.2358747733487138E-2</v>
      </c>
    </row>
    <row r="13" spans="1:8" x14ac:dyDescent="0.45">
      <c r="A13" s="68" t="s">
        <v>63</v>
      </c>
      <c r="B13">
        <f>1-B12</f>
        <v>0.93764125226651285</v>
      </c>
    </row>
  </sheetData>
  <mergeCells count="2">
    <mergeCell ref="D1:G1"/>
    <mergeCell ref="D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277F4-13F7-4C09-9D3A-C803D63917B9}">
  <sheetPr codeName="Sheet2"/>
  <dimension ref="A1:E26"/>
  <sheetViews>
    <sheetView tabSelected="1" zoomScale="90" zoomScaleNormal="90" workbookViewId="0">
      <selection activeCell="O22" sqref="O22"/>
    </sheetView>
  </sheetViews>
  <sheetFormatPr defaultRowHeight="14.25" x14ac:dyDescent="0.45"/>
  <cols>
    <col min="1" max="1" width="18" bestFit="1" customWidth="1"/>
    <col min="2" max="2" width="15" bestFit="1" customWidth="1"/>
  </cols>
  <sheetData>
    <row r="1" spans="1:5" x14ac:dyDescent="0.45">
      <c r="A1" t="s">
        <v>20</v>
      </c>
      <c r="B1" t="s">
        <v>44</v>
      </c>
      <c r="D1" t="s">
        <v>45</v>
      </c>
      <c r="E1">
        <v>4.2799999999999998E-2</v>
      </c>
    </row>
    <row r="2" spans="1:5" x14ac:dyDescent="0.45">
      <c r="A2">
        <v>0</v>
      </c>
      <c r="B2">
        <f>E1+E4*A2</f>
        <v>4.2799999999999998E-2</v>
      </c>
      <c r="D2" t="s">
        <v>46</v>
      </c>
      <c r="E2">
        <v>-2.869E-2</v>
      </c>
    </row>
    <row r="3" spans="1:5" x14ac:dyDescent="0.45">
      <c r="A3">
        <v>0.01</v>
      </c>
      <c r="B3">
        <f t="shared" ref="B3:B26" si="0">E2+E5*A3</f>
        <v>-2.869E-2</v>
      </c>
      <c r="D3" t="s">
        <v>47</v>
      </c>
      <c r="E3">
        <v>0.20838000000000001</v>
      </c>
    </row>
    <row r="4" spans="1:5" x14ac:dyDescent="0.45">
      <c r="A4">
        <v>0.02</v>
      </c>
      <c r="B4">
        <f t="shared" si="0"/>
        <v>0.20838000000000001</v>
      </c>
      <c r="D4" t="s">
        <v>48</v>
      </c>
      <c r="E4">
        <v>-0.34306999999999999</v>
      </c>
    </row>
    <row r="5" spans="1:5" x14ac:dyDescent="0.45">
      <c r="A5">
        <v>0.03</v>
      </c>
      <c r="B5">
        <f t="shared" si="0"/>
        <v>-0.34306999999999999</v>
      </c>
    </row>
    <row r="6" spans="1:5" x14ac:dyDescent="0.45">
      <c r="A6">
        <v>0.04</v>
      </c>
      <c r="B6">
        <f t="shared" si="0"/>
        <v>0</v>
      </c>
    </row>
    <row r="7" spans="1:5" x14ac:dyDescent="0.45">
      <c r="A7">
        <v>0.05</v>
      </c>
      <c r="B7">
        <f t="shared" si="0"/>
        <v>0</v>
      </c>
    </row>
    <row r="8" spans="1:5" x14ac:dyDescent="0.45">
      <c r="A8">
        <v>0.06</v>
      </c>
      <c r="B8">
        <f t="shared" si="0"/>
        <v>0</v>
      </c>
    </row>
    <row r="9" spans="1:5" x14ac:dyDescent="0.45">
      <c r="A9">
        <v>7.0000000000000007E-2</v>
      </c>
      <c r="B9">
        <f t="shared" si="0"/>
        <v>0</v>
      </c>
    </row>
    <row r="10" spans="1:5" x14ac:dyDescent="0.45">
      <c r="A10">
        <v>0.08</v>
      </c>
      <c r="B10">
        <f t="shared" si="0"/>
        <v>0</v>
      </c>
    </row>
    <row r="11" spans="1:5" x14ac:dyDescent="0.45">
      <c r="A11">
        <v>0.09</v>
      </c>
      <c r="B11">
        <f t="shared" si="0"/>
        <v>0</v>
      </c>
    </row>
    <row r="12" spans="1:5" x14ac:dyDescent="0.45">
      <c r="A12">
        <v>0.1</v>
      </c>
      <c r="B12">
        <f t="shared" si="0"/>
        <v>0</v>
      </c>
    </row>
    <row r="13" spans="1:5" x14ac:dyDescent="0.45">
      <c r="A13">
        <v>0.12</v>
      </c>
      <c r="B13">
        <f t="shared" si="0"/>
        <v>0</v>
      </c>
    </row>
    <row r="14" spans="1:5" x14ac:dyDescent="0.45">
      <c r="A14">
        <v>0.13</v>
      </c>
      <c r="B14">
        <f t="shared" si="0"/>
        <v>0</v>
      </c>
    </row>
    <row r="15" spans="1:5" x14ac:dyDescent="0.45">
      <c r="A15">
        <v>0.14000000000000001</v>
      </c>
      <c r="B15">
        <f t="shared" si="0"/>
        <v>0</v>
      </c>
    </row>
    <row r="16" spans="1:5" x14ac:dyDescent="0.45">
      <c r="A16">
        <v>0.15</v>
      </c>
      <c r="B16">
        <f t="shared" si="0"/>
        <v>0</v>
      </c>
    </row>
    <row r="17" spans="1:2" x14ac:dyDescent="0.45">
      <c r="A17">
        <v>0.16</v>
      </c>
      <c r="B17">
        <f t="shared" si="0"/>
        <v>0</v>
      </c>
    </row>
    <row r="18" spans="1:2" x14ac:dyDescent="0.45">
      <c r="A18">
        <v>0.17</v>
      </c>
      <c r="B18">
        <f t="shared" si="0"/>
        <v>0</v>
      </c>
    </row>
    <row r="19" spans="1:2" x14ac:dyDescent="0.45">
      <c r="A19">
        <v>0.18</v>
      </c>
      <c r="B19">
        <f t="shared" si="0"/>
        <v>0</v>
      </c>
    </row>
    <row r="20" spans="1:2" x14ac:dyDescent="0.45">
      <c r="A20">
        <v>0.19</v>
      </c>
      <c r="B20">
        <f t="shared" si="0"/>
        <v>0</v>
      </c>
    </row>
    <row r="21" spans="1:2" x14ac:dyDescent="0.45">
      <c r="A21">
        <v>0.2</v>
      </c>
      <c r="B21">
        <f t="shared" si="0"/>
        <v>0</v>
      </c>
    </row>
    <row r="22" spans="1:2" x14ac:dyDescent="0.45">
      <c r="A22">
        <v>0.21</v>
      </c>
      <c r="B22">
        <f t="shared" si="0"/>
        <v>0</v>
      </c>
    </row>
    <row r="23" spans="1:2" x14ac:dyDescent="0.45">
      <c r="A23">
        <v>0.22</v>
      </c>
      <c r="B23">
        <f t="shared" si="0"/>
        <v>0</v>
      </c>
    </row>
    <row r="24" spans="1:2" x14ac:dyDescent="0.45">
      <c r="A24">
        <v>0.23</v>
      </c>
      <c r="B24">
        <f t="shared" si="0"/>
        <v>0</v>
      </c>
    </row>
    <row r="25" spans="1:2" x14ac:dyDescent="0.45">
      <c r="A25">
        <v>0.24</v>
      </c>
      <c r="B25">
        <f t="shared" si="0"/>
        <v>0</v>
      </c>
    </row>
    <row r="26" spans="1:2" x14ac:dyDescent="0.45">
      <c r="A26">
        <v>0.25</v>
      </c>
      <c r="B26">
        <f t="shared" si="0"/>
        <v>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6cbfa14-cb15-4308-a62a-3223806420d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31005F4DE8FB488956C1EE2371C1AE" ma:contentTypeVersion="13" ma:contentTypeDescription="Create a new document." ma:contentTypeScope="" ma:versionID="c36973b0329bfb2e649ec669b778ccc2">
  <xsd:schema xmlns:xsd="http://www.w3.org/2001/XMLSchema" xmlns:xs="http://www.w3.org/2001/XMLSchema" xmlns:p="http://schemas.microsoft.com/office/2006/metadata/properties" xmlns:ns3="76cbfa14-cb15-4308-a62a-3223806420d7" xmlns:ns4="aff649b9-22ed-45e2-8c07-8d4e52db5a50" targetNamespace="http://schemas.microsoft.com/office/2006/metadata/properties" ma:root="true" ma:fieldsID="1ce3878a0a6db0646ba7a682fd01400b" ns3:_="" ns4:_="">
    <xsd:import namespace="76cbfa14-cb15-4308-a62a-3223806420d7"/>
    <xsd:import namespace="aff649b9-22ed-45e2-8c07-8d4e52db5a5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bfa14-cb15-4308-a62a-3223806420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f649b9-22ed-45e2-8c07-8d4e52db5a5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9E62439-F6FE-47AC-A855-7507B08368DE}">
  <ds:schemaRefs>
    <ds:schemaRef ds:uri="http://purl.org/dc/dcmitype/"/>
    <ds:schemaRef ds:uri="http://www.w3.org/XML/1998/namespace"/>
    <ds:schemaRef ds:uri="76cbfa14-cb15-4308-a62a-3223806420d7"/>
    <ds:schemaRef ds:uri="http://purl.org/dc/elements/1.1/"/>
    <ds:schemaRef ds:uri="aff649b9-22ed-45e2-8c07-8d4e52db5a50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73C5662-BE6E-4A91-9DBE-FF31A5413D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cbfa14-cb15-4308-a62a-3223806420d7"/>
    <ds:schemaRef ds:uri="aff649b9-22ed-45e2-8c07-8d4e52db5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943F81F-FC9C-4B0F-A0C4-40ABB5875BF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coursework</vt:lpstr>
      <vt:lpstr>Question 3</vt:lpstr>
      <vt:lpstr>Question 4</vt:lpstr>
      <vt:lpstr>Question 6</vt:lpstr>
      <vt:lpstr>Question 8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Ermir Bala</dc:creator>
  <cp:keywords/>
  <dc:description/>
  <cp:lastModifiedBy>Elia Kondi</cp:lastModifiedBy>
  <cp:revision/>
  <dcterms:created xsi:type="dcterms:W3CDTF">2025-03-07T11:10:25Z</dcterms:created>
  <dcterms:modified xsi:type="dcterms:W3CDTF">2025-03-12T03:46:22Z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0x0101001931005F4DE8FB488956C1EE2371C1AE</vt:lpwstr>
  </property>
</Properties>
</file>